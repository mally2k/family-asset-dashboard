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총 자산 현황" sheetId="1" r:id="rId5"/>
    <sheet state="visible" name="상세 자산" sheetId="2" r:id="rId6"/>
    <sheet state="visible" name="대출" sheetId="3" r:id="rId7"/>
    <sheet state="visible" name="목적별 현황" sheetId="4" r:id="rId8"/>
  </sheets>
  <definedNames>
    <definedName hidden="1" localSheetId="0" name="_xlnm._FilterDatabase">'총 자산 현황'!$A$1:$G$5</definedName>
    <definedName hidden="1" localSheetId="1" name="_xlnm._FilterDatabase">'상세 자산'!$A$1:$H$117</definedName>
    <definedName hidden="1" localSheetId="2" name="_xlnm._FilterDatabase">'대출'!$A$1:$E$8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<sst xmlns="http://schemas.openxmlformats.org/spreadsheetml/2006/main" count="750" uniqueCount="70">
  <si>
    <t>날짜</t>
  </si>
  <si>
    <t>현금 (예적금)</t>
  </si>
  <si>
    <t>주식</t>
  </si>
  <si>
    <t>개인연금</t>
  </si>
  <si>
    <t>부동산</t>
  </si>
  <si>
    <t>부채</t>
  </si>
  <si>
    <t>순자산</t>
  </si>
  <si>
    <t>전월 대비 증감</t>
  </si>
  <si>
    <t>2026년 3월</t>
  </si>
  <si>
    <t>2026년 4월</t>
  </si>
  <si>
    <t>2026년 5월</t>
  </si>
  <si>
    <t>2026년 6월</t>
  </si>
  <si>
    <t>자산종류</t>
  </si>
  <si>
    <t>예금주</t>
  </si>
  <si>
    <t>계좌/상품</t>
  </si>
  <si>
    <t>금액</t>
  </si>
  <si>
    <t>수익률</t>
  </si>
  <si>
    <t>목적</t>
  </si>
  <si>
    <t>만기</t>
  </si>
  <si>
    <t>예금</t>
  </si>
  <si>
    <t>유나</t>
  </si>
  <si>
    <t>새마을금고</t>
  </si>
  <si>
    <t>주택</t>
  </si>
  <si>
    <t>2026.10.13</t>
  </si>
  <si>
    <t>2026.12.29</t>
  </si>
  <si>
    <t>적금</t>
  </si>
  <si>
    <t>2026.04.28</t>
  </si>
  <si>
    <t>저축공제</t>
  </si>
  <si>
    <t>-</t>
  </si>
  <si>
    <t>신한은행</t>
  </si>
  <si>
    <t>주택청약</t>
  </si>
  <si>
    <t>우리은행</t>
  </si>
  <si>
    <t>차</t>
  </si>
  <si>
    <t>2026.06.19</t>
  </si>
  <si>
    <t>2026.12.19</t>
  </si>
  <si>
    <t>TIGER 미국 S&amp;P500</t>
  </si>
  <si>
    <t>노후</t>
  </si>
  <si>
    <t>TIME K바이오액티브</t>
  </si>
  <si>
    <t>TIGER 글로벌AI액티브</t>
  </si>
  <si>
    <t>SPY</t>
  </si>
  <si>
    <t>SCHD</t>
  </si>
  <si>
    <t>종현</t>
  </si>
  <si>
    <t>카카오뱅크</t>
  </si>
  <si>
    <t>2026.04.16</t>
  </si>
  <si>
    <t>2030.10.21</t>
  </si>
  <si>
    <t>기업은행</t>
  </si>
  <si>
    <t>TIME 차이나AI테크액티브</t>
  </si>
  <si>
    <t>여행</t>
  </si>
  <si>
    <t>ACE 미국 S&amp;P500</t>
  </si>
  <si>
    <t>ACE 미국나스닥100</t>
  </si>
  <si>
    <t>삼성전자</t>
  </si>
  <si>
    <t>우리사주</t>
  </si>
  <si>
    <t>유주</t>
  </si>
  <si>
    <t>자녀</t>
  </si>
  <si>
    <t>알파벳</t>
  </si>
  <si>
    <t>QQQ</t>
  </si>
  <si>
    <t>S&amp;P 500</t>
  </si>
  <si>
    <t>가상화폐</t>
  </si>
  <si>
    <t>비트코인</t>
  </si>
  <si>
    <t>이더리움</t>
  </si>
  <si>
    <t>하이닉스</t>
  </si>
  <si>
    <t>SK하이닉스</t>
  </si>
  <si>
    <t>퇴직연금 IRP</t>
  </si>
  <si>
    <t>은행</t>
  </si>
  <si>
    <t>금리</t>
  </si>
  <si>
    <t>월납입금</t>
  </si>
  <si>
    <t>하나은행</t>
  </si>
  <si>
    <t>총액</t>
  </si>
  <si>
    <t>금액의 SUM</t>
  </si>
  <si>
    <t>총계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</si>
</sst>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₩-412]#,##0"/>
    <numFmt numFmtId="165" formatCode="yyyy. M. d"/>
  </numFmts>
  <fonts count="10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rgb="FF0000FF"/>
      <name val="Arial"/>
      <scheme val="minor"/>
    </font>
    <font>
      <sz val="9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3" numFmtId="164" xfId="0" applyBorder="1" applyFont="1" applyNumberFormat="1"/>
    <xf borderId="1" fillId="0" fontId="4" numFmtId="164" xfId="0" applyBorder="1" applyFont="1" applyNumberFormat="1"/>
    <xf borderId="2" fillId="2" fontId="1" numFmtId="0" xfId="0" applyAlignment="1" applyBorder="1" applyFont="1">
      <alignment horizontal="center" readingOrder="0"/>
    </xf>
    <xf borderId="2" fillId="2" fontId="1" numFmtId="164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center" vertical="bottom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right" readingOrder="0"/>
    </xf>
    <xf borderId="1" fillId="0" fontId="2" numFmtId="10" xfId="0" applyAlignment="1" applyBorder="1" applyFont="1" applyNumberFormat="1">
      <alignment horizontal="right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10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3" fontId="2" numFmtId="164" xfId="0" applyAlignment="1" applyBorder="1" applyFill="1" applyFont="1" applyNumberFormat="1">
      <alignment horizontal="right" readingOrder="0"/>
    </xf>
    <xf borderId="0" fillId="0" fontId="5" numFmtId="164" xfId="0" applyFont="1" applyNumberFormat="1"/>
    <xf borderId="0" fillId="0" fontId="6" numFmtId="0" xfId="0" applyAlignment="1" applyFont="1">
      <alignment vertical="bottom"/>
    </xf>
    <xf borderId="1" fillId="2" fontId="7" numFmtId="0" xfId="0" applyAlignment="1" applyBorder="1" applyFont="1">
      <alignment horizontal="center" vertical="bottom"/>
    </xf>
    <xf borderId="1" fillId="4" fontId="8" numFmtId="0" xfId="0" applyAlignment="1" applyBorder="1" applyFill="1" applyFont="1">
      <alignment horizontal="center" vertical="bottom"/>
    </xf>
    <xf borderId="1" fillId="0" fontId="8" numFmtId="164" xfId="0" applyAlignment="1" applyBorder="1" applyFont="1" applyNumberFormat="1">
      <alignment horizontal="right" vertical="bottom"/>
    </xf>
    <xf borderId="1" fillId="0" fontId="8" numFmtId="10" xfId="0" applyAlignment="1" applyBorder="1" applyFont="1" applyNumberFormat="1">
      <alignment horizontal="right" readingOrder="0" vertical="bottom"/>
    </xf>
    <xf borderId="1" fillId="0" fontId="8" numFmtId="164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horizontal="center" vertical="bottom"/>
    </xf>
    <xf borderId="1" fillId="0" fontId="8" numFmtId="10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0" fillId="0" fontId="8" numFmtId="164" xfId="0" applyAlignment="1" applyFont="1" applyNumberFormat="1">
      <alignment horizontal="right"/>
    </xf>
    <xf borderId="0" fillId="0" fontId="8" numFmtId="10" xfId="0" applyAlignment="1" applyFont="1" applyNumberFormat="1">
      <alignment horizontal="right"/>
    </xf>
    <xf borderId="0" fillId="0" fontId="9" numFmtId="164" xfId="0" applyFont="1" applyNumberFormat="1"/>
    <xf borderId="0" fillId="0" fontId="8" numFmtId="165" xfId="0" applyAlignment="1" applyFont="1" applyNumberFormat="1">
      <alignment horizontal="center"/>
    </xf>
    <xf borderId="0" fillId="0" fontId="9" numFmtId="0" xfId="0" applyFont="1"/>
    <xf borderId="0" fillId="0" fontId="9" numFmtId="10" xfId="0" applyFont="1" applyNumberFormat="1"/>
    <xf borderId="0" fillId="0" fontId="5" numFmtId="0" xfId="0" applyFont="1"/>
    <xf borderId="0" fillId="0" fontId="5" numFmtId="49" xfId="0" applyFont="1" applyNumberFormat="1"/>
    <xf borderId="0" fillId="0" fontId="5" numFmtId="164" xfId="0" applyFont="1" applyNumberFormat="1"/>
    <xf borderId="0" fillId="5" fontId="5" numFmtId="16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87" sheet="상세 자산"/>
  </cacheSource>
  <cacheFields>
    <cacheField name="날짜" numFmtId="49">
      <sharedItems>
        <s v="2026년 3월"/>
        <s v="2026년 4월"/>
        <s v="2026년 5월"/>
      </sharedItems>
    </cacheField>
    <cacheField name="자산종류" numFmtId="0">
      <sharedItems>
        <s v="예금"/>
        <s v="적금"/>
        <s v="개인연금"/>
        <s v="주식"/>
        <s v="가상화폐"/>
      </sharedItems>
    </cacheField>
    <cacheField name="예금주" numFmtId="0">
      <sharedItems>
        <s v="유나"/>
        <s v="종현"/>
        <s v="유주"/>
      </sharedItems>
    </cacheField>
    <cacheField name="계좌/상품" numFmtId="0">
      <sharedItems>
        <s v="새마을금고"/>
        <s v="신한은행"/>
        <s v="우리은행"/>
        <s v="TIGER 미국 S&amp;P500"/>
        <s v="TIME K바이오액티브"/>
        <s v="TIGER 글로벌AI액티브"/>
        <s v="SPY"/>
        <s v="SCHD"/>
        <s v="카카오뱅크"/>
        <s v="기업은행"/>
        <s v="TIME 차이나AI테크액티브"/>
        <s v="ACE 미국 S&amp;P500"/>
        <s v="ACE 미국나스닥100"/>
        <s v="삼성전자"/>
        <s v="알파벳"/>
        <s v="QQQ"/>
        <s v="S&amp;P 500"/>
        <s v="비트코인"/>
        <s v="이더리움"/>
        <s v="하이닉스"/>
        <s v="SK하이닉스"/>
        <s v="퇴직연금 IRP"/>
      </sharedItems>
    </cacheField>
    <cacheField name="금액" numFmtId="164">
      <sharedItems containsSemiMixedTypes="0" containsString="0" containsNumber="1" containsInteger="1">
        <n v="1.8E7"/>
        <n v="8.4949683E7"/>
        <n v="1.1E7"/>
        <n v="2700000.0"/>
        <n v="1.674E7"/>
        <n v="1500000.0"/>
        <n v="1.0263987E7"/>
        <n v="3.002615E7"/>
        <n v="1329575.0"/>
        <n v="2.276317E7"/>
        <n v="2.3933235E7"/>
        <n v="8309375.0"/>
        <n v="1.44E7"/>
        <n v="2.76E7"/>
        <n v="1.428E7"/>
        <n v="7927425.0"/>
        <n v="2622900.0"/>
        <n v="2929500.0"/>
        <n v="3.78299E7"/>
        <n v="4615200.0"/>
        <n v="4.3863505E7"/>
        <n v="4.896606E7"/>
        <n v="5300000.0"/>
        <n v="5417824.0"/>
        <n v="1.3397337E7"/>
        <n v="1.3734257E7"/>
        <n v="2419421.0"/>
        <n v="1559385.0"/>
        <n v="1.2E7"/>
        <n v="2800000.0"/>
        <n v="1.684E7"/>
        <n v="2000000.0"/>
        <n v="3.037705E7"/>
        <n v="1164150.0"/>
        <n v="2.524011E7"/>
        <n v="2.6156196E7"/>
        <n v="8354174.0"/>
        <n v="1.438E7"/>
        <n v="6617930.0"/>
        <n v="1897440.0"/>
        <n v="1648400.0"/>
        <n v="4.169E7"/>
        <n v="5638400.0"/>
        <n v="4.972992E7"/>
        <n v="4.4548735E7"/>
        <n v="8694000.0"/>
        <n v="5648000.0"/>
        <n v="1.359E7"/>
        <n v="1.3895E7"/>
        <n v="2549596.0"/>
        <n v="1724421.0"/>
        <n v="2900000.0"/>
        <n v="1.694E7"/>
        <n v="2500000.0"/>
        <n v="3.21255E7"/>
        <n v="1123850.0"/>
        <n v="3.202656E7"/>
        <n v="2.8945596E7"/>
        <n v="8939871.0"/>
        <n v="1.4814E7"/>
        <n v="1.448E7"/>
        <n v="8008800.0"/>
        <n v="2195255.0"/>
        <n v="1882320.0"/>
        <n v="4.7996E7"/>
        <n v="8520000.0"/>
        <n v="2.4466E7"/>
        <n v="6816000.0"/>
        <n v="5.784264E7"/>
        <n v="4.822965E7"/>
        <n v="3760950.0"/>
        <n v="1.1928E7"/>
        <n v="6994680.0"/>
        <n v="1.5569376E7"/>
        <n v="1.4863767E7"/>
        <n v="2986000.0"/>
        <n v="1964334.0"/>
      </sharedItems>
    </cacheField>
    <cacheField name="수익률" numFmtId="0">
      <sharedItems containsString="0" containsBlank="1" containsNumber="1">
        <m/>
        <n v="0.3871"/>
        <n v="0.238"/>
        <n v="0.4781"/>
        <n v="0.3411"/>
        <n v="0.1417"/>
        <n v="0.2486"/>
        <n v="0.1358"/>
        <n v="0.167"/>
        <n v="0.3144"/>
        <n v="0.1536"/>
        <n v="0.1432"/>
        <n v="0.1737"/>
        <n v="1.9909999999999999"/>
        <n v="0.006"/>
        <n v="-0.0253"/>
        <n v="0.1298"/>
        <n v="-0.2766"/>
        <n v="-0.359"/>
        <n v="0.4039"/>
        <n v="0.0872"/>
        <n v="0.6389"/>
        <n v="0.3165"/>
        <n v="0.138"/>
        <n v="0.3674"/>
        <n v="0.1845"/>
        <n v="0.1531"/>
        <n v="0.4493"/>
        <n v="0.2345"/>
        <n v="0.1918"/>
        <n v="0.1608"/>
        <n v="2.2967"/>
        <n v="0.0464"/>
        <n v="-0.0182"/>
        <n v="0.1311"/>
        <n v="-0.2378"/>
        <n v="-0.2918"/>
        <n v="0.4848"/>
        <n v="0.0496"/>
        <n v="1.0797"/>
        <n v="0.384"/>
        <n v="0.1396"/>
        <n v="0.2413"/>
        <n v="0.6428"/>
        <n v="0.3704"/>
        <n v="0.2254"/>
        <n v="0.7695"/>
        <n v="4.192"/>
        <n v="0.6394"/>
        <n v="0.4936"/>
        <n v="0.3862"/>
        <n v="0.2567"/>
        <n v="0.2536"/>
        <n v="3.4699"/>
        <n v="0.3036"/>
        <n v="0.1365"/>
        <n v="0.227"/>
        <n v="-0.1455"/>
        <n v="-0.2397"/>
      </sharedItems>
    </cacheField>
    <cacheField name="목적" numFmtId="0">
      <sharedItems>
        <s v="주택"/>
        <s v="저축공제"/>
        <s v="주택청약"/>
        <s v="차"/>
        <s v="노후"/>
        <s v="여행"/>
        <s v="우리사주"/>
        <s v="자녀"/>
      </sharedItems>
    </cacheField>
    <cacheField name="만기" numFmtId="0">
      <sharedItems>
        <s v="2026.10.13"/>
        <s v="2026.12.29"/>
        <s v="2026.04.28"/>
        <s v="-"/>
        <s v="2026.06.19"/>
        <s v="2026.12.19"/>
        <s v="2026.04.16"/>
        <s v="2030.10.2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목적별 현황" cacheId="0" dataCaption="" rowGrandTotals="0" compact="0" compactData="0">
  <location ref="A1:J5" firstHeaderRow="0" firstDataRow="1" firstDataCol="1"/>
  <pivotFields>
    <pivotField name="날짜" axis="axisRow" compact="0" numFmtId="49" outline="0" multipleItemSelectionAllowed="1" showAll="0" sortType="ascending">
      <items>
        <item x="0"/>
        <item x="1"/>
        <item x="2"/>
        <item t="default"/>
      </items>
    </pivotField>
    <pivotField name="자산종류" compact="0" outline="0" multipleItemSelectionAllowed="1" showAll="0">
      <items>
        <item x="0"/>
        <item x="1"/>
        <item x="2"/>
        <item x="3"/>
        <item x="4"/>
        <item t="default"/>
      </items>
    </pivotField>
    <pivotField name="예금주" compact="0" outline="0" multipleItemSelectionAllowed="1" showAll="0">
      <items>
        <item x="0"/>
        <item x="1"/>
        <item x="2"/>
        <item t="default"/>
      </items>
    </pivotField>
    <pivotField name="계좌/상품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금액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수익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목적" axis="axisCol" compact="0" outline="0" multipleItemSelectionAllowed="1" showAll="0" sortType="ascending">
      <items>
        <item x="4"/>
        <item x="5"/>
        <item x="6"/>
        <item x="7"/>
        <item x="1"/>
        <item x="0"/>
        <item x="2"/>
        <item x="3"/>
        <item t="default"/>
      </items>
    </pivotField>
    <pivotField name="만기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0"/>
  </rowFields>
  <colFields>
    <field x="6"/>
  </colFields>
  <dataFields>
    <dataField name="SUM of 금액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f>sumifs('상세 자산'!E:E,'상세 자산'!A:A,'상세 자산'!A2,'상세 자산'!B:B,'상세 자산'!$B$2)+sumifs('상세 자산'!E:E,'상세 자산'!A:A,'상세 자산'!A2,'상세 자산'!B:B,'상세 자산'!$B$4)</f>
        <v>201433670</v>
      </c>
      <c r="C2" s="3">
        <f>sumifs('상세 자산'!E:E,'상세 자산'!A:A,'상세 자산'!A2,'상세 자산'!B:B,'상세 자산'!$B$17)+sumifs('상세 자산'!E:E,'상세 자산'!A:A,'상세 자산'!A2,'상세 자산'!B:B,'상세 자산'!$B$28)</f>
        <v>125380559</v>
      </c>
      <c r="D2" s="3">
        <f>sumifs('상세 자산'!E:E,'상세 자산'!A:A,'상세 자산'!A2,'상세 자산'!B:B,'상세 자산'!$B$9)</f>
        <v>151563660</v>
      </c>
      <c r="E2" s="4">
        <f t="shared" ref="E2:E5" si="1">3300000000-1100000000</f>
        <v>2200000000</v>
      </c>
      <c r="F2" s="3">
        <f>'대출'!$C$8</f>
        <v>349025014</v>
      </c>
      <c r="G2" s="3">
        <f t="shared" ref="G2:G5" si="2">B2+C2+D2+E2-F2</f>
        <v>2329352875</v>
      </c>
      <c r="H2" s="5"/>
    </row>
    <row r="3">
      <c r="A3" s="2" t="s">
        <v>9</v>
      </c>
      <c r="B3" s="3">
        <f>sumifs('상세 자산'!E:E,'상세 자산'!A:A,'상세 자산'!A30,'상세 자산'!B:B,'상세 자산'!$B$2)+sumifs('상세 자산'!E:E,'상세 자산'!A:A,'상세 자산'!A30,'상세 자산'!B:B,'상세 자산'!$B$4)</f>
        <v>203233670</v>
      </c>
      <c r="C3" s="3">
        <f>sumifs('상세 자산'!E:E,'상세 자산'!A:A,'상세 자산'!A30,'상세 자산'!B:B,'상세 자산'!$B$17)+sumifs('상세 자산'!E:E,'상세 자산'!A:A,'상세 자산'!A30,'상세 자산'!B:B,'상세 자산'!$B$28)</f>
        <v>132465157</v>
      </c>
      <c r="D3" s="3">
        <f>sumifs('상세 자산'!E:E,'상세 자산'!A:A,'상세 자산'!A30,'상세 자산'!B:B,'상세 자산'!$B$9)</f>
        <v>156698365</v>
      </c>
      <c r="E3" s="4">
        <f t="shared" si="1"/>
        <v>2200000000</v>
      </c>
      <c r="F3" s="3">
        <f>'대출'!$C$8</f>
        <v>349025014</v>
      </c>
      <c r="G3" s="3">
        <f t="shared" si="2"/>
        <v>2343372178</v>
      </c>
      <c r="H3" s="6">
        <f t="shared" ref="H3:H5" si="3">G3-G2</f>
        <v>14019303</v>
      </c>
    </row>
    <row r="4">
      <c r="A4" s="2" t="s">
        <v>10</v>
      </c>
      <c r="B4" s="3">
        <f>sumifs('상세 자산'!E:E,'상세 자산'!A:A,'상세 자산'!A58,'상세 자산'!B:B,'상세 자산'!$B$2)+sumifs('상세 자산'!E:E,'상세 자산'!A:A,'상세 자산'!A58,'상세 자산'!B:B,'상세 자산'!$B$5)</f>
        <v>177633670</v>
      </c>
      <c r="C4" s="3">
        <f>sumifs('상세 자산'!E:E,'상세 자산'!A:A,'상세 자산'!A58,'상세 자산'!B:B,'상세 자산'!$B$17)+sumifs('상세 자산'!E:E,'상세 자산'!A:A,'상세 자산'!A58,'상세 자산'!B:B,'상세 자산'!$B$28)</f>
        <v>200073999</v>
      </c>
      <c r="D4" s="3">
        <f>sumifs('상세 자산'!E:E,'상세 자산'!A:A,'상세 자산'!A58,'상세 자산'!B:B,'상세 자산'!$B$9)</f>
        <v>181925150</v>
      </c>
      <c r="E4" s="4">
        <f t="shared" si="1"/>
        <v>2200000000</v>
      </c>
      <c r="F4" s="3">
        <f>'대출'!$C$8</f>
        <v>349025014</v>
      </c>
      <c r="G4" s="3">
        <f t="shared" si="2"/>
        <v>2410607805</v>
      </c>
      <c r="H4" s="6">
        <f t="shared" si="3"/>
        <v>67235627</v>
      </c>
    </row>
    <row r="5">
      <c r="A5" s="2" t="s">
        <v>11</v>
      </c>
      <c r="B5" s="3">
        <f>sumifs('상세 자산'!E:E,'상세 자산'!A:A,'상세 자산'!A88,'상세 자산'!B:B,'상세 자산'!$B$2)+sumifs('상세 자산'!E:E,'상세 자산'!A:A,'상세 자산'!A88,'상세 자산'!B:B,'상세 자산'!$B$5)</f>
        <v>177633670</v>
      </c>
      <c r="C5" s="3">
        <f>sumifs('상세 자산'!E:E,'상세 자산'!A:A,'상세 자산'!A88,'상세 자산'!B:B,'상세 자산'!$B$17)+sumifs('상세 자산'!E:E,'상세 자산'!A:A,'상세 자산'!A88,'상세 자산'!B:B,'상세 자산'!$B$28)</f>
        <v>200073999</v>
      </c>
      <c r="D5" s="3">
        <f>sumifs('상세 자산'!E:E,'상세 자산'!A:A,'상세 자산'!A88,'상세 자산'!B:B,'상세 자산'!$B$9)</f>
        <v>181925150</v>
      </c>
      <c r="E5" s="4">
        <f t="shared" si="1"/>
        <v>2200000000</v>
      </c>
      <c r="F5" s="3">
        <f>'대출'!$C$8</f>
        <v>349025014</v>
      </c>
      <c r="G5" s="3">
        <f t="shared" si="2"/>
        <v>2410607805</v>
      </c>
      <c r="H5" s="7">
        <f t="shared" si="3"/>
        <v>0</v>
      </c>
    </row>
  </sheetData>
  <autoFilter ref="$A$1:$G$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25"/>
  </cols>
  <sheetData>
    <row r="1">
      <c r="A1" s="8" t="s">
        <v>0</v>
      </c>
      <c r="B1" s="8" t="s">
        <v>12</v>
      </c>
      <c r="C1" s="8" t="s">
        <v>13</v>
      </c>
      <c r="D1" s="8" t="s">
        <v>14</v>
      </c>
      <c r="E1" s="9" t="s">
        <v>15</v>
      </c>
      <c r="F1" s="8" t="s">
        <v>16</v>
      </c>
      <c r="G1" s="10" t="s">
        <v>17</v>
      </c>
      <c r="H1" s="8" t="s">
        <v>18</v>
      </c>
    </row>
    <row r="2" hidden="1">
      <c r="A2" s="11" t="s">
        <v>8</v>
      </c>
      <c r="B2" s="12" t="s">
        <v>19</v>
      </c>
      <c r="C2" s="12" t="s">
        <v>20</v>
      </c>
      <c r="D2" s="12" t="s">
        <v>21</v>
      </c>
      <c r="E2" s="13">
        <v>1.8E7</v>
      </c>
      <c r="F2" s="14"/>
      <c r="G2" s="15" t="s">
        <v>22</v>
      </c>
      <c r="H2" s="12" t="s">
        <v>23</v>
      </c>
    </row>
    <row r="3" hidden="1">
      <c r="A3" s="11" t="s">
        <v>8</v>
      </c>
      <c r="B3" s="12" t="s">
        <v>19</v>
      </c>
      <c r="C3" s="12" t="s">
        <v>20</v>
      </c>
      <c r="D3" s="12" t="s">
        <v>21</v>
      </c>
      <c r="E3" s="13">
        <v>8.4949683E7</v>
      </c>
      <c r="F3" s="14"/>
      <c r="G3" s="15" t="s">
        <v>22</v>
      </c>
      <c r="H3" s="12" t="s">
        <v>24</v>
      </c>
    </row>
    <row r="4" hidden="1">
      <c r="A4" s="11" t="s">
        <v>8</v>
      </c>
      <c r="B4" s="12" t="s">
        <v>25</v>
      </c>
      <c r="C4" s="12" t="s">
        <v>20</v>
      </c>
      <c r="D4" s="12" t="s">
        <v>21</v>
      </c>
      <c r="E4" s="13">
        <v>1.1E7</v>
      </c>
      <c r="F4" s="14"/>
      <c r="G4" s="15" t="s">
        <v>22</v>
      </c>
      <c r="H4" s="12" t="s">
        <v>26</v>
      </c>
    </row>
    <row r="5" hidden="1">
      <c r="A5" s="11" t="s">
        <v>8</v>
      </c>
      <c r="B5" s="12" t="s">
        <v>25</v>
      </c>
      <c r="C5" s="12" t="s">
        <v>20</v>
      </c>
      <c r="D5" s="12" t="s">
        <v>21</v>
      </c>
      <c r="E5" s="13">
        <v>2700000.0</v>
      </c>
      <c r="F5" s="14"/>
      <c r="G5" s="15" t="s">
        <v>27</v>
      </c>
      <c r="H5" s="12" t="s">
        <v>28</v>
      </c>
    </row>
    <row r="6" hidden="1">
      <c r="A6" s="11" t="s">
        <v>8</v>
      </c>
      <c r="B6" s="12" t="s">
        <v>25</v>
      </c>
      <c r="C6" s="12" t="s">
        <v>20</v>
      </c>
      <c r="D6" s="12" t="s">
        <v>29</v>
      </c>
      <c r="E6" s="13">
        <v>1.674E7</v>
      </c>
      <c r="F6" s="14"/>
      <c r="G6" s="16" t="s">
        <v>30</v>
      </c>
      <c r="H6" s="12" t="s">
        <v>28</v>
      </c>
    </row>
    <row r="7" hidden="1">
      <c r="A7" s="11" t="s">
        <v>8</v>
      </c>
      <c r="B7" s="12" t="s">
        <v>25</v>
      </c>
      <c r="C7" s="12" t="s">
        <v>20</v>
      </c>
      <c r="D7" s="12" t="s">
        <v>31</v>
      </c>
      <c r="E7" s="13">
        <v>1500000.0</v>
      </c>
      <c r="F7" s="17"/>
      <c r="G7" s="18" t="s">
        <v>32</v>
      </c>
      <c r="H7" s="12" t="s">
        <v>33</v>
      </c>
    </row>
    <row r="8" hidden="1">
      <c r="A8" s="11" t="s">
        <v>8</v>
      </c>
      <c r="B8" s="12" t="s">
        <v>19</v>
      </c>
      <c r="C8" s="12" t="s">
        <v>20</v>
      </c>
      <c r="D8" s="12" t="s">
        <v>31</v>
      </c>
      <c r="E8" s="13">
        <v>1.0263987E7</v>
      </c>
      <c r="F8" s="17"/>
      <c r="G8" s="18" t="s">
        <v>32</v>
      </c>
      <c r="H8" s="12" t="s">
        <v>34</v>
      </c>
    </row>
    <row r="9" hidden="1">
      <c r="A9" s="11" t="s">
        <v>8</v>
      </c>
      <c r="B9" s="12" t="s">
        <v>3</v>
      </c>
      <c r="C9" s="12" t="s">
        <v>20</v>
      </c>
      <c r="D9" s="12" t="s">
        <v>35</v>
      </c>
      <c r="E9" s="13">
        <v>3.002615E7</v>
      </c>
      <c r="F9" s="17">
        <v>0.3871</v>
      </c>
      <c r="G9" s="15" t="s">
        <v>36</v>
      </c>
      <c r="H9" s="12" t="s">
        <v>28</v>
      </c>
    </row>
    <row r="10" hidden="1">
      <c r="A10" s="11" t="s">
        <v>8</v>
      </c>
      <c r="B10" s="12" t="s">
        <v>3</v>
      </c>
      <c r="C10" s="12" t="s">
        <v>20</v>
      </c>
      <c r="D10" s="12" t="s">
        <v>37</v>
      </c>
      <c r="E10" s="13">
        <v>1329575.0</v>
      </c>
      <c r="F10" s="17">
        <v>0.238</v>
      </c>
      <c r="G10" s="15" t="s">
        <v>36</v>
      </c>
      <c r="H10" s="12" t="s">
        <v>28</v>
      </c>
    </row>
    <row r="11" hidden="1">
      <c r="A11" s="11" t="s">
        <v>8</v>
      </c>
      <c r="B11" s="12" t="s">
        <v>3</v>
      </c>
      <c r="C11" s="12" t="s">
        <v>20</v>
      </c>
      <c r="D11" s="12" t="s">
        <v>38</v>
      </c>
      <c r="E11" s="13">
        <v>2.276317E7</v>
      </c>
      <c r="F11" s="17">
        <v>0.4781</v>
      </c>
      <c r="G11" s="15" t="s">
        <v>36</v>
      </c>
      <c r="H11" s="12" t="s">
        <v>28</v>
      </c>
    </row>
    <row r="12" hidden="1">
      <c r="A12" s="11" t="s">
        <v>8</v>
      </c>
      <c r="B12" s="12" t="s">
        <v>2</v>
      </c>
      <c r="C12" s="12" t="s">
        <v>20</v>
      </c>
      <c r="D12" s="12" t="s">
        <v>39</v>
      </c>
      <c r="E12" s="13">
        <v>2.3933235E7</v>
      </c>
      <c r="F12" s="17">
        <v>0.3411</v>
      </c>
      <c r="G12" s="15" t="s">
        <v>36</v>
      </c>
      <c r="H12" s="12" t="s">
        <v>28</v>
      </c>
    </row>
    <row r="13" hidden="1">
      <c r="A13" s="11" t="s">
        <v>8</v>
      </c>
      <c r="B13" s="12" t="s">
        <v>2</v>
      </c>
      <c r="C13" s="12" t="s">
        <v>20</v>
      </c>
      <c r="D13" s="12" t="s">
        <v>40</v>
      </c>
      <c r="E13" s="13">
        <v>8309375.0</v>
      </c>
      <c r="F13" s="17">
        <v>0.1417</v>
      </c>
      <c r="G13" s="15" t="s">
        <v>36</v>
      </c>
      <c r="H13" s="12" t="s">
        <v>28</v>
      </c>
    </row>
    <row r="14" hidden="1">
      <c r="A14" s="11" t="s">
        <v>8</v>
      </c>
      <c r="B14" s="12" t="s">
        <v>19</v>
      </c>
      <c r="C14" s="12" t="s">
        <v>41</v>
      </c>
      <c r="D14" s="19" t="s">
        <v>42</v>
      </c>
      <c r="E14" s="13">
        <v>1.44E7</v>
      </c>
      <c r="F14" s="17"/>
      <c r="G14" s="15" t="s">
        <v>32</v>
      </c>
      <c r="H14" s="12" t="s">
        <v>43</v>
      </c>
    </row>
    <row r="15" hidden="1">
      <c r="A15" s="11" t="s">
        <v>8</v>
      </c>
      <c r="B15" s="12" t="s">
        <v>19</v>
      </c>
      <c r="C15" s="12" t="s">
        <v>41</v>
      </c>
      <c r="D15" s="19" t="s">
        <v>21</v>
      </c>
      <c r="E15" s="13">
        <v>2.76E7</v>
      </c>
      <c r="F15" s="17"/>
      <c r="G15" s="15" t="s">
        <v>22</v>
      </c>
      <c r="H15" s="12" t="s">
        <v>44</v>
      </c>
    </row>
    <row r="16" hidden="1">
      <c r="A16" s="11" t="s">
        <v>8</v>
      </c>
      <c r="B16" s="12" t="s">
        <v>25</v>
      </c>
      <c r="C16" s="12" t="s">
        <v>41</v>
      </c>
      <c r="D16" s="12" t="s">
        <v>45</v>
      </c>
      <c r="E16" s="13">
        <v>1.428E7</v>
      </c>
      <c r="F16" s="17"/>
      <c r="G16" s="15" t="s">
        <v>30</v>
      </c>
      <c r="H16" s="12" t="s">
        <v>28</v>
      </c>
    </row>
    <row r="17" hidden="1">
      <c r="A17" s="11" t="s">
        <v>8</v>
      </c>
      <c r="B17" s="12" t="s">
        <v>2</v>
      </c>
      <c r="C17" s="12" t="s">
        <v>41</v>
      </c>
      <c r="D17" s="12" t="s">
        <v>46</v>
      </c>
      <c r="E17" s="13">
        <v>7927425.0</v>
      </c>
      <c r="F17" s="17">
        <v>0.2486</v>
      </c>
      <c r="G17" s="15" t="s">
        <v>47</v>
      </c>
      <c r="H17" s="12" t="s">
        <v>28</v>
      </c>
    </row>
    <row r="18" hidden="1">
      <c r="A18" s="11" t="s">
        <v>8</v>
      </c>
      <c r="B18" s="12" t="s">
        <v>2</v>
      </c>
      <c r="C18" s="12" t="s">
        <v>41</v>
      </c>
      <c r="D18" s="12" t="s">
        <v>48</v>
      </c>
      <c r="E18" s="13">
        <v>2622900.0</v>
      </c>
      <c r="F18" s="17">
        <v>0.1358</v>
      </c>
      <c r="G18" s="15" t="s">
        <v>47</v>
      </c>
      <c r="H18" s="12" t="s">
        <v>28</v>
      </c>
    </row>
    <row r="19" hidden="1">
      <c r="A19" s="11" t="s">
        <v>8</v>
      </c>
      <c r="B19" s="12" t="s">
        <v>2</v>
      </c>
      <c r="C19" s="12" t="s">
        <v>41</v>
      </c>
      <c r="D19" s="12" t="s">
        <v>49</v>
      </c>
      <c r="E19" s="13">
        <v>2929500.0</v>
      </c>
      <c r="F19" s="17">
        <v>0.167</v>
      </c>
      <c r="G19" s="15" t="s">
        <v>47</v>
      </c>
      <c r="H19" s="12" t="s">
        <v>28</v>
      </c>
    </row>
    <row r="20" hidden="1">
      <c r="A20" s="11" t="s">
        <v>8</v>
      </c>
      <c r="B20" s="12" t="s">
        <v>2</v>
      </c>
      <c r="C20" s="12" t="s">
        <v>41</v>
      </c>
      <c r="D20" s="12" t="s">
        <v>50</v>
      </c>
      <c r="E20" s="13">
        <v>3.78299E7</v>
      </c>
      <c r="F20" s="17">
        <v>0.3144</v>
      </c>
      <c r="G20" s="15" t="s">
        <v>51</v>
      </c>
      <c r="H20" s="12" t="s">
        <v>28</v>
      </c>
    </row>
    <row r="21" hidden="1">
      <c r="A21" s="11" t="s">
        <v>8</v>
      </c>
      <c r="B21" s="12" t="s">
        <v>3</v>
      </c>
      <c r="C21" s="12" t="s">
        <v>41</v>
      </c>
      <c r="D21" s="12" t="s">
        <v>46</v>
      </c>
      <c r="E21" s="13">
        <v>4615200.0</v>
      </c>
      <c r="F21" s="17">
        <v>0.1536</v>
      </c>
      <c r="G21" s="15" t="s">
        <v>36</v>
      </c>
      <c r="H21" s="12" t="s">
        <v>28</v>
      </c>
    </row>
    <row r="22" hidden="1">
      <c r="A22" s="11" t="s">
        <v>8</v>
      </c>
      <c r="B22" s="12" t="s">
        <v>3</v>
      </c>
      <c r="C22" s="12" t="s">
        <v>41</v>
      </c>
      <c r="D22" s="12" t="s">
        <v>48</v>
      </c>
      <c r="E22" s="13">
        <v>4.3863505E7</v>
      </c>
      <c r="F22" s="17">
        <v>0.1432</v>
      </c>
      <c r="G22" s="15" t="s">
        <v>36</v>
      </c>
      <c r="H22" s="12" t="s">
        <v>28</v>
      </c>
    </row>
    <row r="23" hidden="1">
      <c r="A23" s="11" t="s">
        <v>8</v>
      </c>
      <c r="B23" s="12" t="s">
        <v>3</v>
      </c>
      <c r="C23" s="12" t="s">
        <v>41</v>
      </c>
      <c r="D23" s="12" t="s">
        <v>49</v>
      </c>
      <c r="E23" s="13">
        <v>4.896606E7</v>
      </c>
      <c r="F23" s="17">
        <v>0.1737</v>
      </c>
      <c r="G23" s="15" t="s">
        <v>36</v>
      </c>
      <c r="H23" s="12" t="s">
        <v>28</v>
      </c>
    </row>
    <row r="24" hidden="1">
      <c r="A24" s="11" t="s">
        <v>8</v>
      </c>
      <c r="B24" s="12" t="s">
        <v>2</v>
      </c>
      <c r="C24" s="12" t="s">
        <v>52</v>
      </c>
      <c r="D24" s="12" t="s">
        <v>50</v>
      </c>
      <c r="E24" s="13">
        <v>5300000.0</v>
      </c>
      <c r="F24" s="17">
        <v>1.991</v>
      </c>
      <c r="G24" s="15" t="s">
        <v>53</v>
      </c>
      <c r="H24" s="12" t="s">
        <v>28</v>
      </c>
    </row>
    <row r="25" hidden="1">
      <c r="A25" s="11" t="s">
        <v>8</v>
      </c>
      <c r="B25" s="12" t="s">
        <v>2</v>
      </c>
      <c r="C25" s="12" t="s">
        <v>52</v>
      </c>
      <c r="D25" s="12" t="s">
        <v>54</v>
      </c>
      <c r="E25" s="13">
        <v>5417824.0</v>
      </c>
      <c r="F25" s="17">
        <v>0.006</v>
      </c>
      <c r="G25" s="15" t="s">
        <v>53</v>
      </c>
      <c r="H25" s="12" t="s">
        <v>28</v>
      </c>
    </row>
    <row r="26" hidden="1">
      <c r="A26" s="11" t="s">
        <v>8</v>
      </c>
      <c r="B26" s="12" t="s">
        <v>2</v>
      </c>
      <c r="C26" s="12" t="s">
        <v>52</v>
      </c>
      <c r="D26" s="12" t="s">
        <v>55</v>
      </c>
      <c r="E26" s="13">
        <v>1.3397337E7</v>
      </c>
      <c r="F26" s="17">
        <v>-0.0253</v>
      </c>
      <c r="G26" s="15" t="s">
        <v>53</v>
      </c>
      <c r="H26" s="12" t="s">
        <v>28</v>
      </c>
    </row>
    <row r="27" hidden="1">
      <c r="A27" s="11" t="s">
        <v>8</v>
      </c>
      <c r="B27" s="12" t="s">
        <v>2</v>
      </c>
      <c r="C27" s="12" t="s">
        <v>52</v>
      </c>
      <c r="D27" s="12" t="s">
        <v>56</v>
      </c>
      <c r="E27" s="13">
        <v>1.3734257E7</v>
      </c>
      <c r="F27" s="17">
        <v>0.1298</v>
      </c>
      <c r="G27" s="15" t="s">
        <v>53</v>
      </c>
      <c r="H27" s="12" t="s">
        <v>28</v>
      </c>
    </row>
    <row r="28" hidden="1">
      <c r="A28" s="11" t="s">
        <v>8</v>
      </c>
      <c r="B28" s="12" t="s">
        <v>57</v>
      </c>
      <c r="C28" s="12" t="s">
        <v>52</v>
      </c>
      <c r="D28" s="12" t="s">
        <v>58</v>
      </c>
      <c r="E28" s="13">
        <v>2419421.0</v>
      </c>
      <c r="F28" s="17">
        <v>-0.2766</v>
      </c>
      <c r="G28" s="15" t="s">
        <v>53</v>
      </c>
      <c r="H28" s="12" t="s">
        <v>28</v>
      </c>
    </row>
    <row r="29" hidden="1">
      <c r="A29" s="11" t="s">
        <v>8</v>
      </c>
      <c r="B29" s="12" t="s">
        <v>57</v>
      </c>
      <c r="C29" s="12" t="s">
        <v>52</v>
      </c>
      <c r="D29" s="12" t="s">
        <v>59</v>
      </c>
      <c r="E29" s="13">
        <v>1559385.0</v>
      </c>
      <c r="F29" s="17">
        <v>-0.359</v>
      </c>
      <c r="G29" s="15" t="s">
        <v>53</v>
      </c>
      <c r="H29" s="12" t="s">
        <v>28</v>
      </c>
    </row>
    <row r="30" hidden="1">
      <c r="A30" s="11" t="s">
        <v>9</v>
      </c>
      <c r="B30" s="12" t="s">
        <v>19</v>
      </c>
      <c r="C30" s="12" t="s">
        <v>20</v>
      </c>
      <c r="D30" s="12" t="s">
        <v>21</v>
      </c>
      <c r="E30" s="13">
        <v>1.8E7</v>
      </c>
      <c r="F30" s="14"/>
      <c r="G30" s="15" t="s">
        <v>22</v>
      </c>
      <c r="H30" s="12" t="s">
        <v>23</v>
      </c>
    </row>
    <row r="31" hidden="1">
      <c r="A31" s="11" t="s">
        <v>9</v>
      </c>
      <c r="B31" s="12" t="s">
        <v>19</v>
      </c>
      <c r="C31" s="12" t="s">
        <v>20</v>
      </c>
      <c r="D31" s="12" t="s">
        <v>21</v>
      </c>
      <c r="E31" s="13">
        <v>8.4949683E7</v>
      </c>
      <c r="F31" s="14"/>
      <c r="G31" s="15" t="s">
        <v>22</v>
      </c>
      <c r="H31" s="12" t="s">
        <v>24</v>
      </c>
    </row>
    <row r="32" hidden="1">
      <c r="A32" s="11" t="s">
        <v>9</v>
      </c>
      <c r="B32" s="12" t="s">
        <v>25</v>
      </c>
      <c r="C32" s="12" t="s">
        <v>20</v>
      </c>
      <c r="D32" s="12" t="s">
        <v>21</v>
      </c>
      <c r="E32" s="13">
        <v>1.2E7</v>
      </c>
      <c r="F32" s="14"/>
      <c r="G32" s="15" t="s">
        <v>22</v>
      </c>
      <c r="H32" s="12" t="s">
        <v>26</v>
      </c>
    </row>
    <row r="33" hidden="1">
      <c r="A33" s="11" t="s">
        <v>9</v>
      </c>
      <c r="B33" s="12" t="s">
        <v>25</v>
      </c>
      <c r="C33" s="12" t="s">
        <v>20</v>
      </c>
      <c r="D33" s="12" t="s">
        <v>21</v>
      </c>
      <c r="E33" s="13">
        <v>2800000.0</v>
      </c>
      <c r="F33" s="14"/>
      <c r="G33" s="15" t="s">
        <v>27</v>
      </c>
      <c r="H33" s="12" t="s">
        <v>28</v>
      </c>
    </row>
    <row r="34" hidden="1">
      <c r="A34" s="11" t="s">
        <v>9</v>
      </c>
      <c r="B34" s="12" t="s">
        <v>25</v>
      </c>
      <c r="C34" s="12" t="s">
        <v>20</v>
      </c>
      <c r="D34" s="12" t="s">
        <v>29</v>
      </c>
      <c r="E34" s="13">
        <v>1.684E7</v>
      </c>
      <c r="F34" s="14"/>
      <c r="G34" s="16" t="s">
        <v>30</v>
      </c>
      <c r="H34" s="12" t="s">
        <v>28</v>
      </c>
    </row>
    <row r="35" hidden="1">
      <c r="A35" s="11" t="s">
        <v>9</v>
      </c>
      <c r="B35" s="12" t="s">
        <v>25</v>
      </c>
      <c r="C35" s="12" t="s">
        <v>20</v>
      </c>
      <c r="D35" s="12" t="s">
        <v>31</v>
      </c>
      <c r="E35" s="13">
        <v>2000000.0</v>
      </c>
      <c r="F35" s="17"/>
      <c r="G35" s="18" t="s">
        <v>32</v>
      </c>
      <c r="H35" s="12" t="s">
        <v>33</v>
      </c>
    </row>
    <row r="36" hidden="1">
      <c r="A36" s="11" t="s">
        <v>9</v>
      </c>
      <c r="B36" s="12" t="s">
        <v>19</v>
      </c>
      <c r="C36" s="12" t="s">
        <v>20</v>
      </c>
      <c r="D36" s="12" t="s">
        <v>31</v>
      </c>
      <c r="E36" s="13">
        <v>1.0263987E7</v>
      </c>
      <c r="F36" s="17"/>
      <c r="G36" s="18" t="s">
        <v>32</v>
      </c>
      <c r="H36" s="12" t="s">
        <v>34</v>
      </c>
    </row>
    <row r="37" hidden="1">
      <c r="A37" s="11" t="s">
        <v>9</v>
      </c>
      <c r="B37" s="12" t="s">
        <v>3</v>
      </c>
      <c r="C37" s="12" t="s">
        <v>20</v>
      </c>
      <c r="D37" s="12" t="s">
        <v>35</v>
      </c>
      <c r="E37" s="13">
        <v>3.037705E7</v>
      </c>
      <c r="F37" s="17">
        <v>0.4039</v>
      </c>
      <c r="G37" s="15" t="s">
        <v>36</v>
      </c>
      <c r="H37" s="12" t="s">
        <v>28</v>
      </c>
    </row>
    <row r="38" hidden="1">
      <c r="A38" s="11" t="s">
        <v>9</v>
      </c>
      <c r="B38" s="12" t="s">
        <v>3</v>
      </c>
      <c r="C38" s="12" t="s">
        <v>20</v>
      </c>
      <c r="D38" s="12" t="s">
        <v>37</v>
      </c>
      <c r="E38" s="13">
        <v>1164150.0</v>
      </c>
      <c r="F38" s="17">
        <v>0.0872</v>
      </c>
      <c r="G38" s="15" t="s">
        <v>36</v>
      </c>
      <c r="H38" s="12" t="s">
        <v>28</v>
      </c>
    </row>
    <row r="39" hidden="1">
      <c r="A39" s="11" t="s">
        <v>9</v>
      </c>
      <c r="B39" s="12" t="s">
        <v>3</v>
      </c>
      <c r="C39" s="12" t="s">
        <v>20</v>
      </c>
      <c r="D39" s="12" t="s">
        <v>38</v>
      </c>
      <c r="E39" s="13">
        <v>2.524011E7</v>
      </c>
      <c r="F39" s="17">
        <v>0.6389</v>
      </c>
      <c r="G39" s="15" t="s">
        <v>36</v>
      </c>
      <c r="H39" s="12" t="s">
        <v>28</v>
      </c>
    </row>
    <row r="40" hidden="1">
      <c r="A40" s="11" t="s">
        <v>9</v>
      </c>
      <c r="B40" s="12" t="s">
        <v>2</v>
      </c>
      <c r="C40" s="12" t="s">
        <v>20</v>
      </c>
      <c r="D40" s="12" t="s">
        <v>39</v>
      </c>
      <c r="E40" s="13">
        <v>2.6156196E7</v>
      </c>
      <c r="F40" s="17">
        <v>0.3165</v>
      </c>
      <c r="G40" s="15" t="s">
        <v>36</v>
      </c>
      <c r="H40" s="12" t="s">
        <v>28</v>
      </c>
    </row>
    <row r="41" hidden="1">
      <c r="A41" s="11" t="s">
        <v>9</v>
      </c>
      <c r="B41" s="12" t="s">
        <v>2</v>
      </c>
      <c r="C41" s="12" t="s">
        <v>20</v>
      </c>
      <c r="D41" s="12" t="s">
        <v>40</v>
      </c>
      <c r="E41" s="13">
        <v>8354174.0</v>
      </c>
      <c r="F41" s="17">
        <v>0.138</v>
      </c>
      <c r="G41" s="15" t="s">
        <v>36</v>
      </c>
      <c r="H41" s="12" t="s">
        <v>28</v>
      </c>
    </row>
    <row r="42" hidden="1">
      <c r="A42" s="11" t="s">
        <v>9</v>
      </c>
      <c r="B42" s="12" t="s">
        <v>19</v>
      </c>
      <c r="C42" s="12" t="s">
        <v>41</v>
      </c>
      <c r="D42" s="19" t="s">
        <v>42</v>
      </c>
      <c r="E42" s="13">
        <v>1.44E7</v>
      </c>
      <c r="F42" s="17"/>
      <c r="G42" s="15" t="s">
        <v>32</v>
      </c>
      <c r="H42" s="12" t="s">
        <v>43</v>
      </c>
    </row>
    <row r="43" hidden="1">
      <c r="A43" s="11" t="s">
        <v>9</v>
      </c>
      <c r="B43" s="12" t="s">
        <v>19</v>
      </c>
      <c r="C43" s="12" t="s">
        <v>41</v>
      </c>
      <c r="D43" s="19" t="s">
        <v>21</v>
      </c>
      <c r="E43" s="13">
        <v>2.76E7</v>
      </c>
      <c r="F43" s="17"/>
      <c r="G43" s="15" t="s">
        <v>22</v>
      </c>
      <c r="H43" s="12" t="s">
        <v>44</v>
      </c>
    </row>
    <row r="44" hidden="1">
      <c r="A44" s="11" t="s">
        <v>9</v>
      </c>
      <c r="B44" s="12" t="s">
        <v>25</v>
      </c>
      <c r="C44" s="12" t="s">
        <v>41</v>
      </c>
      <c r="D44" s="12" t="s">
        <v>45</v>
      </c>
      <c r="E44" s="13">
        <v>1.438E7</v>
      </c>
      <c r="F44" s="17"/>
      <c r="G44" s="15" t="s">
        <v>30</v>
      </c>
      <c r="H44" s="12" t="s">
        <v>28</v>
      </c>
    </row>
    <row r="45" hidden="1">
      <c r="A45" s="11" t="s">
        <v>9</v>
      </c>
      <c r="B45" s="12" t="s">
        <v>2</v>
      </c>
      <c r="C45" s="12" t="s">
        <v>41</v>
      </c>
      <c r="D45" s="12" t="s">
        <v>46</v>
      </c>
      <c r="E45" s="13">
        <v>6617930.0</v>
      </c>
      <c r="F45" s="17">
        <v>0.3674</v>
      </c>
      <c r="G45" s="15" t="s">
        <v>47</v>
      </c>
      <c r="H45" s="12" t="s">
        <v>28</v>
      </c>
    </row>
    <row r="46" hidden="1">
      <c r="A46" s="11" t="s">
        <v>9</v>
      </c>
      <c r="B46" s="12" t="s">
        <v>2</v>
      </c>
      <c r="C46" s="12" t="s">
        <v>41</v>
      </c>
      <c r="D46" s="12" t="s">
        <v>49</v>
      </c>
      <c r="E46" s="13">
        <v>1897440.0</v>
      </c>
      <c r="F46" s="17">
        <v>0.1845</v>
      </c>
      <c r="G46" s="15" t="s">
        <v>47</v>
      </c>
      <c r="H46" s="12" t="s">
        <v>28</v>
      </c>
    </row>
    <row r="47" hidden="1">
      <c r="A47" s="11" t="s">
        <v>9</v>
      </c>
      <c r="B47" s="12" t="s">
        <v>2</v>
      </c>
      <c r="C47" s="12" t="s">
        <v>41</v>
      </c>
      <c r="D47" s="12" t="s">
        <v>48</v>
      </c>
      <c r="E47" s="13">
        <v>1648400.0</v>
      </c>
      <c r="F47" s="17">
        <v>0.1531</v>
      </c>
      <c r="G47" s="15" t="s">
        <v>47</v>
      </c>
      <c r="H47" s="12" t="s">
        <v>28</v>
      </c>
    </row>
    <row r="48" hidden="1">
      <c r="A48" s="11" t="s">
        <v>9</v>
      </c>
      <c r="B48" s="12" t="s">
        <v>2</v>
      </c>
      <c r="C48" s="12" t="s">
        <v>41</v>
      </c>
      <c r="D48" s="12" t="s">
        <v>50</v>
      </c>
      <c r="E48" s="13">
        <f>41690000</f>
        <v>41690000</v>
      </c>
      <c r="F48" s="17">
        <v>0.4493</v>
      </c>
      <c r="G48" s="15" t="s">
        <v>51</v>
      </c>
      <c r="H48" s="12" t="s">
        <v>28</v>
      </c>
    </row>
    <row r="49" hidden="1">
      <c r="A49" s="11" t="s">
        <v>9</v>
      </c>
      <c r="B49" s="12" t="s">
        <v>3</v>
      </c>
      <c r="C49" s="12" t="s">
        <v>41</v>
      </c>
      <c r="D49" s="12" t="s">
        <v>46</v>
      </c>
      <c r="E49" s="13">
        <v>5638400.0</v>
      </c>
      <c r="F49" s="17">
        <v>0.2345</v>
      </c>
      <c r="G49" s="15" t="s">
        <v>36</v>
      </c>
      <c r="H49" s="12" t="s">
        <v>28</v>
      </c>
    </row>
    <row r="50" hidden="1">
      <c r="A50" s="11" t="s">
        <v>9</v>
      </c>
      <c r="B50" s="12" t="s">
        <v>3</v>
      </c>
      <c r="C50" s="12" t="s">
        <v>41</v>
      </c>
      <c r="D50" s="12" t="s">
        <v>49</v>
      </c>
      <c r="E50" s="13">
        <v>4.972992E7</v>
      </c>
      <c r="F50" s="17">
        <v>0.1918</v>
      </c>
      <c r="G50" s="15" t="s">
        <v>36</v>
      </c>
      <c r="H50" s="12" t="s">
        <v>28</v>
      </c>
    </row>
    <row r="51" hidden="1">
      <c r="A51" s="11" t="s">
        <v>9</v>
      </c>
      <c r="B51" s="12" t="s">
        <v>3</v>
      </c>
      <c r="C51" s="12" t="s">
        <v>41</v>
      </c>
      <c r="D51" s="12" t="s">
        <v>48</v>
      </c>
      <c r="E51" s="13">
        <v>4.4548735E7</v>
      </c>
      <c r="F51" s="17">
        <v>0.1608</v>
      </c>
      <c r="G51" s="15" t="s">
        <v>36</v>
      </c>
      <c r="H51" s="12" t="s">
        <v>28</v>
      </c>
    </row>
    <row r="52" hidden="1">
      <c r="A52" s="11" t="s">
        <v>9</v>
      </c>
      <c r="B52" s="12" t="s">
        <v>2</v>
      </c>
      <c r="C52" s="12" t="s">
        <v>52</v>
      </c>
      <c r="D52" s="12" t="s">
        <v>50</v>
      </c>
      <c r="E52" s="13">
        <v>8694000.0</v>
      </c>
      <c r="F52" s="17">
        <v>2.2967</v>
      </c>
      <c r="G52" s="15" t="s">
        <v>53</v>
      </c>
      <c r="H52" s="12" t="s">
        <v>28</v>
      </c>
    </row>
    <row r="53" hidden="1">
      <c r="A53" s="11" t="s">
        <v>9</v>
      </c>
      <c r="B53" s="12" t="s">
        <v>2</v>
      </c>
      <c r="C53" s="12" t="s">
        <v>52</v>
      </c>
      <c r="D53" s="12" t="s">
        <v>54</v>
      </c>
      <c r="E53" s="13">
        <v>5648000.0</v>
      </c>
      <c r="F53" s="17">
        <v>0.0464</v>
      </c>
      <c r="G53" s="15" t="s">
        <v>53</v>
      </c>
      <c r="H53" s="12" t="s">
        <v>28</v>
      </c>
    </row>
    <row r="54" hidden="1">
      <c r="A54" s="11" t="s">
        <v>9</v>
      </c>
      <c r="B54" s="12" t="s">
        <v>2</v>
      </c>
      <c r="C54" s="12" t="s">
        <v>52</v>
      </c>
      <c r="D54" s="12" t="s">
        <v>55</v>
      </c>
      <c r="E54" s="13">
        <v>1.359E7</v>
      </c>
      <c r="F54" s="17">
        <v>-0.0182</v>
      </c>
      <c r="G54" s="15" t="s">
        <v>53</v>
      </c>
      <c r="H54" s="12" t="s">
        <v>28</v>
      </c>
    </row>
    <row r="55" hidden="1">
      <c r="A55" s="11" t="s">
        <v>9</v>
      </c>
      <c r="B55" s="12" t="s">
        <v>2</v>
      </c>
      <c r="C55" s="12" t="s">
        <v>52</v>
      </c>
      <c r="D55" s="12" t="s">
        <v>56</v>
      </c>
      <c r="E55" s="13">
        <v>1.3895E7</v>
      </c>
      <c r="F55" s="17">
        <v>0.1311</v>
      </c>
      <c r="G55" s="15" t="s">
        <v>53</v>
      </c>
      <c r="H55" s="12" t="s">
        <v>28</v>
      </c>
    </row>
    <row r="56" hidden="1">
      <c r="A56" s="11" t="s">
        <v>9</v>
      </c>
      <c r="B56" s="12" t="s">
        <v>57</v>
      </c>
      <c r="C56" s="12" t="s">
        <v>52</v>
      </c>
      <c r="D56" s="12" t="s">
        <v>58</v>
      </c>
      <c r="E56" s="13">
        <v>2549596.0</v>
      </c>
      <c r="F56" s="17">
        <v>-0.2378</v>
      </c>
      <c r="G56" s="15" t="s">
        <v>53</v>
      </c>
      <c r="H56" s="12" t="s">
        <v>28</v>
      </c>
    </row>
    <row r="57" hidden="1">
      <c r="A57" s="11" t="s">
        <v>9</v>
      </c>
      <c r="B57" s="12" t="s">
        <v>57</v>
      </c>
      <c r="C57" s="12" t="s">
        <v>52</v>
      </c>
      <c r="D57" s="12" t="s">
        <v>59</v>
      </c>
      <c r="E57" s="13">
        <v>1724421.0</v>
      </c>
      <c r="F57" s="17">
        <v>-0.2918</v>
      </c>
      <c r="G57" s="15" t="s">
        <v>53</v>
      </c>
      <c r="H57" s="12" t="s">
        <v>28</v>
      </c>
    </row>
    <row r="58" hidden="1">
      <c r="A58" s="11" t="s">
        <v>10</v>
      </c>
      <c r="B58" s="12" t="s">
        <v>19</v>
      </c>
      <c r="C58" s="12" t="s">
        <v>20</v>
      </c>
      <c r="D58" s="12" t="s">
        <v>21</v>
      </c>
      <c r="E58" s="13">
        <v>1.8E7</v>
      </c>
      <c r="F58" s="14"/>
      <c r="G58" s="15" t="s">
        <v>22</v>
      </c>
      <c r="H58" s="12" t="s">
        <v>23</v>
      </c>
    </row>
    <row r="59" hidden="1">
      <c r="A59" s="11" t="s">
        <v>10</v>
      </c>
      <c r="B59" s="12" t="s">
        <v>19</v>
      </c>
      <c r="C59" s="12" t="s">
        <v>20</v>
      </c>
      <c r="D59" s="12" t="s">
        <v>21</v>
      </c>
      <c r="E59" s="13">
        <v>8.4949683E7</v>
      </c>
      <c r="F59" s="14"/>
      <c r="G59" s="15" t="s">
        <v>22</v>
      </c>
      <c r="H59" s="12" t="s">
        <v>24</v>
      </c>
    </row>
    <row r="60" hidden="1">
      <c r="A60" s="11" t="s">
        <v>10</v>
      </c>
      <c r="B60" s="12" t="s">
        <v>25</v>
      </c>
      <c r="C60" s="12" t="s">
        <v>20</v>
      </c>
      <c r="D60" s="12" t="s">
        <v>21</v>
      </c>
      <c r="E60" s="13">
        <v>2900000.0</v>
      </c>
      <c r="F60" s="14"/>
      <c r="G60" s="15" t="s">
        <v>27</v>
      </c>
      <c r="H60" s="12" t="s">
        <v>28</v>
      </c>
    </row>
    <row r="61" hidden="1">
      <c r="A61" s="11" t="s">
        <v>10</v>
      </c>
      <c r="B61" s="12" t="s">
        <v>25</v>
      </c>
      <c r="C61" s="12" t="s">
        <v>20</v>
      </c>
      <c r="D61" s="12" t="s">
        <v>29</v>
      </c>
      <c r="E61" s="13">
        <v>1.694E7</v>
      </c>
      <c r="F61" s="14"/>
      <c r="G61" s="16" t="s">
        <v>30</v>
      </c>
      <c r="H61" s="12" t="s">
        <v>28</v>
      </c>
    </row>
    <row r="62" hidden="1">
      <c r="A62" s="11" t="s">
        <v>10</v>
      </c>
      <c r="B62" s="12" t="s">
        <v>25</v>
      </c>
      <c r="C62" s="12" t="s">
        <v>20</v>
      </c>
      <c r="D62" s="12" t="s">
        <v>31</v>
      </c>
      <c r="E62" s="13">
        <v>2500000.0</v>
      </c>
      <c r="F62" s="17"/>
      <c r="G62" s="18" t="s">
        <v>32</v>
      </c>
      <c r="H62" s="12" t="s">
        <v>33</v>
      </c>
    </row>
    <row r="63" hidden="1">
      <c r="A63" s="11" t="s">
        <v>10</v>
      </c>
      <c r="B63" s="12" t="s">
        <v>19</v>
      </c>
      <c r="C63" s="12" t="s">
        <v>20</v>
      </c>
      <c r="D63" s="12" t="s">
        <v>31</v>
      </c>
      <c r="E63" s="13">
        <v>1.0263987E7</v>
      </c>
      <c r="F63" s="17"/>
      <c r="G63" s="18" t="s">
        <v>32</v>
      </c>
      <c r="H63" s="12" t="s">
        <v>34</v>
      </c>
    </row>
    <row r="64" hidden="1">
      <c r="A64" s="11" t="s">
        <v>10</v>
      </c>
      <c r="B64" s="12" t="s">
        <v>3</v>
      </c>
      <c r="C64" s="12" t="s">
        <v>20</v>
      </c>
      <c r="D64" s="12" t="s">
        <v>35</v>
      </c>
      <c r="E64" s="13">
        <v>3.21255E7</v>
      </c>
      <c r="F64" s="17">
        <v>0.4848</v>
      </c>
      <c r="G64" s="15" t="s">
        <v>36</v>
      </c>
      <c r="H64" s="12" t="s">
        <v>28</v>
      </c>
    </row>
    <row r="65" hidden="1">
      <c r="A65" s="11" t="s">
        <v>10</v>
      </c>
      <c r="B65" s="12" t="s">
        <v>3</v>
      </c>
      <c r="C65" s="12" t="s">
        <v>20</v>
      </c>
      <c r="D65" s="12" t="s">
        <v>37</v>
      </c>
      <c r="E65" s="13">
        <v>1123850.0</v>
      </c>
      <c r="F65" s="17">
        <v>0.0496</v>
      </c>
      <c r="G65" s="15" t="s">
        <v>36</v>
      </c>
      <c r="H65" s="12" t="s">
        <v>28</v>
      </c>
    </row>
    <row r="66" hidden="1">
      <c r="A66" s="11" t="s">
        <v>10</v>
      </c>
      <c r="B66" s="12" t="s">
        <v>3</v>
      </c>
      <c r="C66" s="12" t="s">
        <v>20</v>
      </c>
      <c r="D66" s="12" t="s">
        <v>38</v>
      </c>
      <c r="E66" s="13">
        <v>3.202656E7</v>
      </c>
      <c r="F66" s="17">
        <v>1.0797</v>
      </c>
      <c r="G66" s="15" t="s">
        <v>36</v>
      </c>
      <c r="H66" s="12" t="s">
        <v>28</v>
      </c>
    </row>
    <row r="67" hidden="1">
      <c r="A67" s="11" t="s">
        <v>10</v>
      </c>
      <c r="B67" s="12" t="s">
        <v>2</v>
      </c>
      <c r="C67" s="12" t="s">
        <v>20</v>
      </c>
      <c r="D67" s="12" t="s">
        <v>39</v>
      </c>
      <c r="E67" s="13">
        <v>2.8945596E7</v>
      </c>
      <c r="F67" s="17">
        <v>0.384</v>
      </c>
      <c r="G67" s="15" t="s">
        <v>36</v>
      </c>
      <c r="H67" s="12" t="s">
        <v>28</v>
      </c>
    </row>
    <row r="68" hidden="1">
      <c r="A68" s="11" t="s">
        <v>10</v>
      </c>
      <c r="B68" s="12" t="s">
        <v>2</v>
      </c>
      <c r="C68" s="12" t="s">
        <v>20</v>
      </c>
      <c r="D68" s="12" t="s">
        <v>40</v>
      </c>
      <c r="E68" s="13">
        <v>8939871.0</v>
      </c>
      <c r="F68" s="17">
        <v>0.1396</v>
      </c>
      <c r="G68" s="15" t="s">
        <v>36</v>
      </c>
      <c r="H68" s="12" t="s">
        <v>28</v>
      </c>
    </row>
    <row r="69" hidden="1">
      <c r="A69" s="11" t="s">
        <v>10</v>
      </c>
      <c r="B69" s="12" t="s">
        <v>2</v>
      </c>
      <c r="C69" s="12" t="s">
        <v>20</v>
      </c>
      <c r="D69" s="12" t="s">
        <v>60</v>
      </c>
      <c r="E69" s="13">
        <v>1.4814E7</v>
      </c>
      <c r="F69" s="17">
        <v>0.2413</v>
      </c>
      <c r="G69" s="15" t="s">
        <v>22</v>
      </c>
      <c r="H69" s="12" t="s">
        <v>28</v>
      </c>
    </row>
    <row r="70" hidden="1">
      <c r="A70" s="11" t="s">
        <v>10</v>
      </c>
      <c r="B70" s="12" t="s">
        <v>19</v>
      </c>
      <c r="C70" s="12" t="s">
        <v>41</v>
      </c>
      <c r="D70" s="19" t="s">
        <v>21</v>
      </c>
      <c r="E70" s="13">
        <v>2.76E7</v>
      </c>
      <c r="F70" s="17"/>
      <c r="G70" s="15" t="s">
        <v>22</v>
      </c>
      <c r="H70" s="12" t="s">
        <v>44</v>
      </c>
    </row>
    <row r="71" hidden="1">
      <c r="A71" s="11" t="s">
        <v>10</v>
      </c>
      <c r="B71" s="12" t="s">
        <v>25</v>
      </c>
      <c r="C71" s="12" t="s">
        <v>41</v>
      </c>
      <c r="D71" s="12" t="s">
        <v>45</v>
      </c>
      <c r="E71" s="13">
        <v>1.448E7</v>
      </c>
      <c r="F71" s="17"/>
      <c r="G71" s="15" t="s">
        <v>30</v>
      </c>
      <c r="H71" s="12" t="s">
        <v>28</v>
      </c>
    </row>
    <row r="72" hidden="1">
      <c r="A72" s="11" t="s">
        <v>10</v>
      </c>
      <c r="B72" s="12" t="s">
        <v>2</v>
      </c>
      <c r="C72" s="12" t="s">
        <v>41</v>
      </c>
      <c r="D72" s="12" t="s">
        <v>46</v>
      </c>
      <c r="E72" s="13">
        <v>8008800.0</v>
      </c>
      <c r="F72" s="17">
        <v>0.6428</v>
      </c>
      <c r="G72" s="15" t="s">
        <v>47</v>
      </c>
      <c r="H72" s="12" t="s">
        <v>28</v>
      </c>
    </row>
    <row r="73" hidden="1">
      <c r="A73" s="11" t="s">
        <v>10</v>
      </c>
      <c r="B73" s="12" t="s">
        <v>2</v>
      </c>
      <c r="C73" s="12" t="s">
        <v>41</v>
      </c>
      <c r="D73" s="12" t="s">
        <v>49</v>
      </c>
      <c r="E73" s="13">
        <v>2195255.0</v>
      </c>
      <c r="F73" s="17">
        <v>0.3704</v>
      </c>
      <c r="G73" s="15" t="s">
        <v>47</v>
      </c>
      <c r="H73" s="12" t="s">
        <v>28</v>
      </c>
    </row>
    <row r="74" hidden="1">
      <c r="A74" s="11" t="s">
        <v>10</v>
      </c>
      <c r="B74" s="12" t="s">
        <v>2</v>
      </c>
      <c r="C74" s="12" t="s">
        <v>41</v>
      </c>
      <c r="D74" s="12" t="s">
        <v>48</v>
      </c>
      <c r="E74" s="13">
        <v>1882320.0</v>
      </c>
      <c r="F74" s="17">
        <v>0.2254</v>
      </c>
      <c r="G74" s="15" t="s">
        <v>47</v>
      </c>
      <c r="H74" s="12" t="s">
        <v>28</v>
      </c>
    </row>
    <row r="75" hidden="1">
      <c r="A75" s="11" t="s">
        <v>10</v>
      </c>
      <c r="B75" s="12" t="s">
        <v>2</v>
      </c>
      <c r="C75" s="12" t="s">
        <v>41</v>
      </c>
      <c r="D75" s="12" t="s">
        <v>50</v>
      </c>
      <c r="E75" s="13">
        <v>4.7996E7</v>
      </c>
      <c r="F75" s="17">
        <v>0.7695</v>
      </c>
      <c r="G75" s="15" t="s">
        <v>51</v>
      </c>
      <c r="H75" s="12" t="s">
        <v>28</v>
      </c>
    </row>
    <row r="76" hidden="1">
      <c r="A76" s="11" t="s">
        <v>10</v>
      </c>
      <c r="B76" s="12" t="s">
        <v>2</v>
      </c>
      <c r="C76" s="12" t="s">
        <v>41</v>
      </c>
      <c r="D76" s="12" t="s">
        <v>50</v>
      </c>
      <c r="E76" s="13">
        <v>8520000.0</v>
      </c>
      <c r="F76" s="17">
        <v>4.192</v>
      </c>
      <c r="G76" s="15" t="s">
        <v>51</v>
      </c>
      <c r="H76" s="12" t="s">
        <v>28</v>
      </c>
    </row>
    <row r="77" hidden="1">
      <c r="A77" s="11" t="s">
        <v>10</v>
      </c>
      <c r="B77" s="12" t="s">
        <v>2</v>
      </c>
      <c r="C77" s="12" t="s">
        <v>41</v>
      </c>
      <c r="D77" s="12" t="s">
        <v>61</v>
      </c>
      <c r="E77" s="13">
        <v>2.4466E7</v>
      </c>
      <c r="F77" s="17">
        <v>0.6394</v>
      </c>
      <c r="G77" s="15" t="s">
        <v>32</v>
      </c>
      <c r="H77" s="12" t="s">
        <v>28</v>
      </c>
    </row>
    <row r="78" hidden="1">
      <c r="A78" s="11" t="s">
        <v>10</v>
      </c>
      <c r="B78" s="12" t="s">
        <v>3</v>
      </c>
      <c r="C78" s="12" t="s">
        <v>41</v>
      </c>
      <c r="D78" s="12" t="s">
        <v>46</v>
      </c>
      <c r="E78" s="13">
        <v>6816000.0</v>
      </c>
      <c r="F78" s="17">
        <v>0.4936</v>
      </c>
      <c r="G78" s="15" t="s">
        <v>36</v>
      </c>
      <c r="H78" s="12" t="s">
        <v>28</v>
      </c>
    </row>
    <row r="79" hidden="1">
      <c r="A79" s="11" t="s">
        <v>10</v>
      </c>
      <c r="B79" s="12" t="s">
        <v>3</v>
      </c>
      <c r="C79" s="12" t="s">
        <v>41</v>
      </c>
      <c r="D79" s="12" t="s">
        <v>49</v>
      </c>
      <c r="E79" s="13">
        <v>5.784264E7</v>
      </c>
      <c r="F79" s="17">
        <v>0.3862</v>
      </c>
      <c r="G79" s="15" t="s">
        <v>36</v>
      </c>
      <c r="H79" s="12" t="s">
        <v>28</v>
      </c>
    </row>
    <row r="80" hidden="1">
      <c r="A80" s="11" t="s">
        <v>10</v>
      </c>
      <c r="B80" s="12" t="s">
        <v>3</v>
      </c>
      <c r="C80" s="12" t="s">
        <v>41</v>
      </c>
      <c r="D80" s="12" t="s">
        <v>48</v>
      </c>
      <c r="E80" s="13">
        <v>4.822965E7</v>
      </c>
      <c r="F80" s="17">
        <v>0.2567</v>
      </c>
      <c r="G80" s="15" t="s">
        <v>36</v>
      </c>
      <c r="H80" s="12" t="s">
        <v>28</v>
      </c>
    </row>
    <row r="81" hidden="1">
      <c r="A81" s="11" t="s">
        <v>10</v>
      </c>
      <c r="B81" s="12" t="s">
        <v>3</v>
      </c>
      <c r="C81" s="12" t="s">
        <v>41</v>
      </c>
      <c r="D81" s="12" t="s">
        <v>62</v>
      </c>
      <c r="E81" s="13">
        <v>3760950.0</v>
      </c>
      <c r="F81" s="17">
        <v>0.2536</v>
      </c>
      <c r="G81" s="15" t="s">
        <v>36</v>
      </c>
      <c r="H81" s="12" t="s">
        <v>28</v>
      </c>
    </row>
    <row r="82" hidden="1">
      <c r="A82" s="11" t="s">
        <v>10</v>
      </c>
      <c r="B82" s="12" t="s">
        <v>2</v>
      </c>
      <c r="C82" s="12" t="s">
        <v>52</v>
      </c>
      <c r="D82" s="12" t="s">
        <v>50</v>
      </c>
      <c r="E82" s="13">
        <v>1.1928E7</v>
      </c>
      <c r="F82" s="17">
        <v>3.4699</v>
      </c>
      <c r="G82" s="15" t="s">
        <v>53</v>
      </c>
      <c r="H82" s="12" t="s">
        <v>28</v>
      </c>
    </row>
    <row r="83" hidden="1">
      <c r="A83" s="11" t="s">
        <v>10</v>
      </c>
      <c r="B83" s="12" t="s">
        <v>2</v>
      </c>
      <c r="C83" s="12" t="s">
        <v>52</v>
      </c>
      <c r="D83" s="12" t="s">
        <v>54</v>
      </c>
      <c r="E83" s="13">
        <v>6994680.0</v>
      </c>
      <c r="F83" s="17">
        <v>0.3036</v>
      </c>
      <c r="G83" s="15" t="s">
        <v>53</v>
      </c>
      <c r="H83" s="12" t="s">
        <v>28</v>
      </c>
    </row>
    <row r="84" hidden="1">
      <c r="A84" s="11" t="s">
        <v>10</v>
      </c>
      <c r="B84" s="12" t="s">
        <v>2</v>
      </c>
      <c r="C84" s="12" t="s">
        <v>52</v>
      </c>
      <c r="D84" s="12" t="s">
        <v>55</v>
      </c>
      <c r="E84" s="13">
        <v>1.5569376E7</v>
      </c>
      <c r="F84" s="17">
        <v>0.1365</v>
      </c>
      <c r="G84" s="15" t="s">
        <v>53</v>
      </c>
      <c r="H84" s="12" t="s">
        <v>28</v>
      </c>
    </row>
    <row r="85" hidden="1">
      <c r="A85" s="11" t="s">
        <v>10</v>
      </c>
      <c r="B85" s="12" t="s">
        <v>2</v>
      </c>
      <c r="C85" s="12" t="s">
        <v>52</v>
      </c>
      <c r="D85" s="12" t="s">
        <v>56</v>
      </c>
      <c r="E85" s="13">
        <v>1.4863767E7</v>
      </c>
      <c r="F85" s="17">
        <v>0.227</v>
      </c>
      <c r="G85" s="15" t="s">
        <v>53</v>
      </c>
      <c r="H85" s="12" t="s">
        <v>28</v>
      </c>
    </row>
    <row r="86" hidden="1">
      <c r="A86" s="11" t="s">
        <v>10</v>
      </c>
      <c r="B86" s="12" t="s">
        <v>57</v>
      </c>
      <c r="C86" s="12" t="s">
        <v>52</v>
      </c>
      <c r="D86" s="12" t="s">
        <v>58</v>
      </c>
      <c r="E86" s="13">
        <v>2986000.0</v>
      </c>
      <c r="F86" s="17">
        <v>-0.1455</v>
      </c>
      <c r="G86" s="15" t="s">
        <v>53</v>
      </c>
      <c r="H86" s="12" t="s">
        <v>28</v>
      </c>
    </row>
    <row r="87" hidden="1">
      <c r="A87" s="11" t="s">
        <v>10</v>
      </c>
      <c r="B87" s="12" t="s">
        <v>57</v>
      </c>
      <c r="C87" s="12" t="s">
        <v>52</v>
      </c>
      <c r="D87" s="12" t="s">
        <v>59</v>
      </c>
      <c r="E87" s="13">
        <v>1964334.0</v>
      </c>
      <c r="F87" s="17">
        <v>-0.2397</v>
      </c>
      <c r="G87" s="15" t="s">
        <v>53</v>
      </c>
      <c r="H87" s="12" t="s">
        <v>28</v>
      </c>
    </row>
    <row r="88">
      <c r="A88" s="11" t="s">
        <v>11</v>
      </c>
      <c r="B88" s="12" t="s">
        <v>19</v>
      </c>
      <c r="C88" s="12" t="s">
        <v>20</v>
      </c>
      <c r="D88" s="12" t="s">
        <v>21</v>
      </c>
      <c r="E88" s="20">
        <v>1.8E7</v>
      </c>
      <c r="F88" s="14"/>
      <c r="G88" s="15" t="s">
        <v>22</v>
      </c>
      <c r="H88" s="12" t="s">
        <v>23</v>
      </c>
    </row>
    <row r="89">
      <c r="A89" s="11" t="s">
        <v>11</v>
      </c>
      <c r="B89" s="12" t="s">
        <v>19</v>
      </c>
      <c r="C89" s="12" t="s">
        <v>20</v>
      </c>
      <c r="D89" s="12" t="s">
        <v>21</v>
      </c>
      <c r="E89" s="20">
        <v>8.4949683E7</v>
      </c>
      <c r="F89" s="14"/>
      <c r="G89" s="15" t="s">
        <v>22</v>
      </c>
      <c r="H89" s="12" t="s">
        <v>24</v>
      </c>
    </row>
    <row r="90">
      <c r="A90" s="11" t="s">
        <v>11</v>
      </c>
      <c r="B90" s="12" t="s">
        <v>25</v>
      </c>
      <c r="C90" s="12" t="s">
        <v>20</v>
      </c>
      <c r="D90" s="12" t="s">
        <v>21</v>
      </c>
      <c r="E90" s="20">
        <v>2900000.0</v>
      </c>
      <c r="F90" s="14"/>
      <c r="G90" s="15" t="s">
        <v>27</v>
      </c>
      <c r="H90" s="12" t="s">
        <v>28</v>
      </c>
    </row>
    <row r="91">
      <c r="A91" s="11" t="s">
        <v>11</v>
      </c>
      <c r="B91" s="12" t="s">
        <v>25</v>
      </c>
      <c r="C91" s="12" t="s">
        <v>20</v>
      </c>
      <c r="D91" s="12" t="s">
        <v>29</v>
      </c>
      <c r="E91" s="20">
        <v>1.694E7</v>
      </c>
      <c r="F91" s="14"/>
      <c r="G91" s="16" t="s">
        <v>30</v>
      </c>
      <c r="H91" s="12" t="s">
        <v>28</v>
      </c>
    </row>
    <row r="92">
      <c r="A92" s="11" t="s">
        <v>11</v>
      </c>
      <c r="B92" s="12" t="s">
        <v>25</v>
      </c>
      <c r="C92" s="12" t="s">
        <v>20</v>
      </c>
      <c r="D92" s="12" t="s">
        <v>31</v>
      </c>
      <c r="E92" s="20">
        <v>2500000.0</v>
      </c>
      <c r="F92" s="17"/>
      <c r="G92" s="18" t="s">
        <v>32</v>
      </c>
      <c r="H92" s="12" t="s">
        <v>33</v>
      </c>
    </row>
    <row r="93">
      <c r="A93" s="11" t="s">
        <v>11</v>
      </c>
      <c r="B93" s="12" t="s">
        <v>19</v>
      </c>
      <c r="C93" s="12" t="s">
        <v>20</v>
      </c>
      <c r="D93" s="12" t="s">
        <v>31</v>
      </c>
      <c r="E93" s="20">
        <v>1.0263987E7</v>
      </c>
      <c r="F93" s="17"/>
      <c r="G93" s="18" t="s">
        <v>32</v>
      </c>
      <c r="H93" s="12" t="s">
        <v>34</v>
      </c>
    </row>
    <row r="94">
      <c r="A94" s="11" t="s">
        <v>11</v>
      </c>
      <c r="B94" s="12" t="s">
        <v>3</v>
      </c>
      <c r="C94" s="12" t="s">
        <v>20</v>
      </c>
      <c r="D94" s="12" t="s">
        <v>35</v>
      </c>
      <c r="E94" s="20">
        <v>3.21255E7</v>
      </c>
      <c r="F94" s="17">
        <v>0.4848</v>
      </c>
      <c r="G94" s="15" t="s">
        <v>36</v>
      </c>
      <c r="H94" s="12" t="s">
        <v>28</v>
      </c>
    </row>
    <row r="95">
      <c r="A95" s="11" t="s">
        <v>11</v>
      </c>
      <c r="B95" s="12" t="s">
        <v>3</v>
      </c>
      <c r="C95" s="12" t="s">
        <v>20</v>
      </c>
      <c r="D95" s="12" t="s">
        <v>37</v>
      </c>
      <c r="E95" s="20">
        <v>1123850.0</v>
      </c>
      <c r="F95" s="17">
        <v>0.0496</v>
      </c>
      <c r="G95" s="15" t="s">
        <v>36</v>
      </c>
      <c r="H95" s="12" t="s">
        <v>28</v>
      </c>
    </row>
    <row r="96">
      <c r="A96" s="11" t="s">
        <v>11</v>
      </c>
      <c r="B96" s="12" t="s">
        <v>3</v>
      </c>
      <c r="C96" s="12" t="s">
        <v>20</v>
      </c>
      <c r="D96" s="12" t="s">
        <v>38</v>
      </c>
      <c r="E96" s="20">
        <v>3.202656E7</v>
      </c>
      <c r="F96" s="17">
        <v>1.0797</v>
      </c>
      <c r="G96" s="15" t="s">
        <v>36</v>
      </c>
      <c r="H96" s="12" t="s">
        <v>28</v>
      </c>
    </row>
    <row r="97">
      <c r="A97" s="11" t="s">
        <v>11</v>
      </c>
      <c r="B97" s="12" t="s">
        <v>2</v>
      </c>
      <c r="C97" s="12" t="s">
        <v>20</v>
      </c>
      <c r="D97" s="12" t="s">
        <v>39</v>
      </c>
      <c r="E97" s="20">
        <v>2.8945596E7</v>
      </c>
      <c r="F97" s="17">
        <v>0.384</v>
      </c>
      <c r="G97" s="15" t="s">
        <v>36</v>
      </c>
      <c r="H97" s="12" t="s">
        <v>28</v>
      </c>
    </row>
    <row r="98">
      <c r="A98" s="11" t="s">
        <v>11</v>
      </c>
      <c r="B98" s="12" t="s">
        <v>2</v>
      </c>
      <c r="C98" s="12" t="s">
        <v>20</v>
      </c>
      <c r="D98" s="12" t="s">
        <v>40</v>
      </c>
      <c r="E98" s="20">
        <v>8939871.0</v>
      </c>
      <c r="F98" s="17">
        <v>0.1396</v>
      </c>
      <c r="G98" s="15" t="s">
        <v>36</v>
      </c>
      <c r="H98" s="12" t="s">
        <v>28</v>
      </c>
    </row>
    <row r="99">
      <c r="A99" s="11" t="s">
        <v>11</v>
      </c>
      <c r="B99" s="12" t="s">
        <v>2</v>
      </c>
      <c r="C99" s="12" t="s">
        <v>20</v>
      </c>
      <c r="D99" s="12" t="s">
        <v>60</v>
      </c>
      <c r="E99" s="20">
        <v>1.4814E7</v>
      </c>
      <c r="F99" s="17">
        <v>0.2413</v>
      </c>
      <c r="G99" s="15" t="s">
        <v>22</v>
      </c>
      <c r="H99" s="12" t="s">
        <v>28</v>
      </c>
    </row>
    <row r="100">
      <c r="A100" s="11" t="s">
        <v>11</v>
      </c>
      <c r="B100" s="12" t="s">
        <v>19</v>
      </c>
      <c r="C100" s="12" t="s">
        <v>41</v>
      </c>
      <c r="D100" s="19" t="s">
        <v>21</v>
      </c>
      <c r="E100" s="20">
        <v>2.76E7</v>
      </c>
      <c r="F100" s="17"/>
      <c r="G100" s="15" t="s">
        <v>22</v>
      </c>
      <c r="H100" s="12" t="s">
        <v>44</v>
      </c>
    </row>
    <row r="101">
      <c r="A101" s="11" t="s">
        <v>11</v>
      </c>
      <c r="B101" s="12" t="s">
        <v>25</v>
      </c>
      <c r="C101" s="12" t="s">
        <v>41</v>
      </c>
      <c r="D101" s="12" t="s">
        <v>45</v>
      </c>
      <c r="E101" s="20">
        <v>1.448E7</v>
      </c>
      <c r="F101" s="17"/>
      <c r="G101" s="15" t="s">
        <v>30</v>
      </c>
      <c r="H101" s="12" t="s">
        <v>28</v>
      </c>
    </row>
    <row r="102">
      <c r="A102" s="11" t="s">
        <v>11</v>
      </c>
      <c r="B102" s="12" t="s">
        <v>2</v>
      </c>
      <c r="C102" s="12" t="s">
        <v>41</v>
      </c>
      <c r="D102" s="12" t="s">
        <v>46</v>
      </c>
      <c r="E102" s="20">
        <v>8008800.0</v>
      </c>
      <c r="F102" s="17">
        <v>0.6428</v>
      </c>
      <c r="G102" s="15" t="s">
        <v>47</v>
      </c>
      <c r="H102" s="12" t="s">
        <v>28</v>
      </c>
    </row>
    <row r="103">
      <c r="A103" s="11" t="s">
        <v>11</v>
      </c>
      <c r="B103" s="12" t="s">
        <v>2</v>
      </c>
      <c r="C103" s="12" t="s">
        <v>41</v>
      </c>
      <c r="D103" s="12" t="s">
        <v>49</v>
      </c>
      <c r="E103" s="20">
        <v>2195255.0</v>
      </c>
      <c r="F103" s="17">
        <v>0.3704</v>
      </c>
      <c r="G103" s="15" t="s">
        <v>47</v>
      </c>
      <c r="H103" s="12" t="s">
        <v>28</v>
      </c>
    </row>
    <row r="104">
      <c r="A104" s="11" t="s">
        <v>11</v>
      </c>
      <c r="B104" s="12" t="s">
        <v>2</v>
      </c>
      <c r="C104" s="12" t="s">
        <v>41</v>
      </c>
      <c r="D104" s="12" t="s">
        <v>48</v>
      </c>
      <c r="E104" s="20">
        <v>1882320.0</v>
      </c>
      <c r="F104" s="17">
        <v>0.2254</v>
      </c>
      <c r="G104" s="15" t="s">
        <v>47</v>
      </c>
      <c r="H104" s="12" t="s">
        <v>28</v>
      </c>
    </row>
    <row r="105">
      <c r="A105" s="11" t="s">
        <v>11</v>
      </c>
      <c r="B105" s="12" t="s">
        <v>2</v>
      </c>
      <c r="C105" s="12" t="s">
        <v>41</v>
      </c>
      <c r="D105" s="12" t="s">
        <v>50</v>
      </c>
      <c r="E105" s="20">
        <v>4.7996E7</v>
      </c>
      <c r="F105" s="17">
        <v>0.7695</v>
      </c>
      <c r="G105" s="15" t="s">
        <v>51</v>
      </c>
      <c r="H105" s="12" t="s">
        <v>28</v>
      </c>
    </row>
    <row r="106">
      <c r="A106" s="11" t="s">
        <v>11</v>
      </c>
      <c r="B106" s="12" t="s">
        <v>2</v>
      </c>
      <c r="C106" s="12" t="s">
        <v>41</v>
      </c>
      <c r="D106" s="12" t="s">
        <v>50</v>
      </c>
      <c r="E106" s="20">
        <v>8520000.0</v>
      </c>
      <c r="F106" s="17">
        <v>4.192</v>
      </c>
      <c r="G106" s="15" t="s">
        <v>51</v>
      </c>
      <c r="H106" s="12" t="s">
        <v>28</v>
      </c>
    </row>
    <row r="107">
      <c r="A107" s="11" t="s">
        <v>11</v>
      </c>
      <c r="B107" s="12" t="s">
        <v>2</v>
      </c>
      <c r="C107" s="12" t="s">
        <v>41</v>
      </c>
      <c r="D107" s="12" t="s">
        <v>61</v>
      </c>
      <c r="E107" s="20">
        <v>2.4466E7</v>
      </c>
      <c r="F107" s="17">
        <v>0.6394</v>
      </c>
      <c r="G107" s="15" t="s">
        <v>32</v>
      </c>
      <c r="H107" s="12" t="s">
        <v>28</v>
      </c>
    </row>
    <row r="108">
      <c r="A108" s="11" t="s">
        <v>11</v>
      </c>
      <c r="B108" s="12" t="s">
        <v>3</v>
      </c>
      <c r="C108" s="12" t="s">
        <v>41</v>
      </c>
      <c r="D108" s="12" t="s">
        <v>46</v>
      </c>
      <c r="E108" s="20">
        <v>6816000.0</v>
      </c>
      <c r="F108" s="17">
        <v>0.4936</v>
      </c>
      <c r="G108" s="15" t="s">
        <v>36</v>
      </c>
      <c r="H108" s="12" t="s">
        <v>28</v>
      </c>
    </row>
    <row r="109">
      <c r="A109" s="11" t="s">
        <v>11</v>
      </c>
      <c r="B109" s="12" t="s">
        <v>3</v>
      </c>
      <c r="C109" s="12" t="s">
        <v>41</v>
      </c>
      <c r="D109" s="12" t="s">
        <v>49</v>
      </c>
      <c r="E109" s="20">
        <v>5.784264E7</v>
      </c>
      <c r="F109" s="17">
        <v>0.3862</v>
      </c>
      <c r="G109" s="15" t="s">
        <v>36</v>
      </c>
      <c r="H109" s="12" t="s">
        <v>28</v>
      </c>
    </row>
    <row r="110">
      <c r="A110" s="11" t="s">
        <v>11</v>
      </c>
      <c r="B110" s="12" t="s">
        <v>3</v>
      </c>
      <c r="C110" s="12" t="s">
        <v>41</v>
      </c>
      <c r="D110" s="12" t="s">
        <v>48</v>
      </c>
      <c r="E110" s="20">
        <v>4.822965E7</v>
      </c>
      <c r="F110" s="17">
        <v>0.2567</v>
      </c>
      <c r="G110" s="15" t="s">
        <v>36</v>
      </c>
      <c r="H110" s="12" t="s">
        <v>28</v>
      </c>
    </row>
    <row r="111">
      <c r="A111" s="11" t="s">
        <v>11</v>
      </c>
      <c r="B111" s="12" t="s">
        <v>3</v>
      </c>
      <c r="C111" s="12" t="s">
        <v>41</v>
      </c>
      <c r="D111" s="12" t="s">
        <v>62</v>
      </c>
      <c r="E111" s="20">
        <v>3760950.0</v>
      </c>
      <c r="F111" s="17">
        <v>0.2536</v>
      </c>
      <c r="G111" s="15" t="s">
        <v>36</v>
      </c>
      <c r="H111" s="12" t="s">
        <v>28</v>
      </c>
    </row>
    <row r="112">
      <c r="A112" s="11" t="s">
        <v>11</v>
      </c>
      <c r="B112" s="12" t="s">
        <v>2</v>
      </c>
      <c r="C112" s="12" t="s">
        <v>52</v>
      </c>
      <c r="D112" s="12" t="s">
        <v>50</v>
      </c>
      <c r="E112" s="20">
        <v>1.1928E7</v>
      </c>
      <c r="F112" s="17">
        <v>3.4699</v>
      </c>
      <c r="G112" s="15" t="s">
        <v>53</v>
      </c>
      <c r="H112" s="12" t="s">
        <v>28</v>
      </c>
    </row>
    <row r="113">
      <c r="A113" s="11" t="s">
        <v>11</v>
      </c>
      <c r="B113" s="12" t="s">
        <v>2</v>
      </c>
      <c r="C113" s="12" t="s">
        <v>52</v>
      </c>
      <c r="D113" s="12" t="s">
        <v>54</v>
      </c>
      <c r="E113" s="20">
        <v>6994680.0</v>
      </c>
      <c r="F113" s="17">
        <v>0.3036</v>
      </c>
      <c r="G113" s="15" t="s">
        <v>53</v>
      </c>
      <c r="H113" s="12" t="s">
        <v>28</v>
      </c>
    </row>
    <row r="114">
      <c r="A114" s="11" t="s">
        <v>11</v>
      </c>
      <c r="B114" s="12" t="s">
        <v>2</v>
      </c>
      <c r="C114" s="12" t="s">
        <v>52</v>
      </c>
      <c r="D114" s="12" t="s">
        <v>55</v>
      </c>
      <c r="E114" s="20">
        <v>1.5569376E7</v>
      </c>
      <c r="F114" s="17">
        <v>0.1365</v>
      </c>
      <c r="G114" s="15" t="s">
        <v>53</v>
      </c>
      <c r="H114" s="12" t="s">
        <v>28</v>
      </c>
    </row>
    <row r="115">
      <c r="A115" s="11" t="s">
        <v>11</v>
      </c>
      <c r="B115" s="12" t="s">
        <v>2</v>
      </c>
      <c r="C115" s="12" t="s">
        <v>52</v>
      </c>
      <c r="D115" s="12" t="s">
        <v>56</v>
      </c>
      <c r="E115" s="20">
        <v>1.4863767E7</v>
      </c>
      <c r="F115" s="17">
        <v>0.227</v>
      </c>
      <c r="G115" s="15" t="s">
        <v>53</v>
      </c>
      <c r="H115" s="12" t="s">
        <v>28</v>
      </c>
    </row>
    <row r="116">
      <c r="A116" s="11" t="s">
        <v>11</v>
      </c>
      <c r="B116" s="12" t="s">
        <v>57</v>
      </c>
      <c r="C116" s="12" t="s">
        <v>52</v>
      </c>
      <c r="D116" s="12" t="s">
        <v>58</v>
      </c>
      <c r="E116" s="20">
        <v>2986000.0</v>
      </c>
      <c r="F116" s="17">
        <v>-0.1455</v>
      </c>
      <c r="G116" s="15" t="s">
        <v>53</v>
      </c>
      <c r="H116" s="12" t="s">
        <v>28</v>
      </c>
    </row>
    <row r="117">
      <c r="A117" s="11" t="s">
        <v>11</v>
      </c>
      <c r="B117" s="12" t="s">
        <v>57</v>
      </c>
      <c r="C117" s="12" t="s">
        <v>52</v>
      </c>
      <c r="D117" s="12" t="s">
        <v>59</v>
      </c>
      <c r="E117" s="20">
        <v>1964334.0</v>
      </c>
      <c r="F117" s="17">
        <v>-0.2397</v>
      </c>
      <c r="G117" s="15" t="s">
        <v>53</v>
      </c>
      <c r="H117" s="12" t="s">
        <v>28</v>
      </c>
    </row>
    <row r="118">
      <c r="E118" s="21"/>
      <c r="G118" s="22"/>
    </row>
    <row r="119">
      <c r="E119" s="21"/>
      <c r="G119" s="22"/>
    </row>
    <row r="120">
      <c r="E120" s="21"/>
      <c r="G120" s="22"/>
    </row>
    <row r="121">
      <c r="E121" s="21"/>
      <c r="G121" s="22"/>
    </row>
    <row r="122">
      <c r="E122" s="21"/>
      <c r="G122" s="22"/>
    </row>
    <row r="123">
      <c r="E123" s="21"/>
      <c r="G123" s="22"/>
    </row>
    <row r="124">
      <c r="E124" s="21"/>
      <c r="G124" s="22"/>
    </row>
    <row r="125">
      <c r="E125" s="21"/>
      <c r="G125" s="22"/>
    </row>
    <row r="126">
      <c r="E126" s="21"/>
      <c r="G126" s="22"/>
    </row>
    <row r="127">
      <c r="E127" s="21"/>
      <c r="G127" s="22"/>
    </row>
    <row r="128">
      <c r="E128" s="21"/>
      <c r="G128" s="22"/>
    </row>
    <row r="129">
      <c r="E129" s="21"/>
      <c r="G129" s="22"/>
    </row>
    <row r="130">
      <c r="E130" s="21"/>
      <c r="G130" s="22"/>
    </row>
    <row r="131">
      <c r="E131" s="21"/>
      <c r="G131" s="22"/>
    </row>
    <row r="132">
      <c r="E132" s="21"/>
      <c r="G132" s="22"/>
    </row>
    <row r="133">
      <c r="E133" s="21"/>
      <c r="G133" s="22"/>
    </row>
    <row r="134">
      <c r="E134" s="21"/>
      <c r="G134" s="22"/>
    </row>
    <row r="135">
      <c r="E135" s="21"/>
      <c r="G135" s="22"/>
    </row>
    <row r="136">
      <c r="E136" s="21"/>
      <c r="G136" s="22"/>
    </row>
    <row r="137">
      <c r="E137" s="21"/>
      <c r="G137" s="22"/>
    </row>
    <row r="138">
      <c r="E138" s="21"/>
      <c r="G138" s="22"/>
    </row>
    <row r="139">
      <c r="E139" s="21"/>
      <c r="G139" s="22"/>
    </row>
    <row r="140">
      <c r="E140" s="21"/>
      <c r="G140" s="22"/>
    </row>
    <row r="141">
      <c r="E141" s="21"/>
      <c r="G141" s="22"/>
    </row>
    <row r="142">
      <c r="E142" s="21"/>
      <c r="G142" s="22"/>
    </row>
    <row r="143">
      <c r="E143" s="21"/>
      <c r="G143" s="22"/>
    </row>
    <row r="144">
      <c r="E144" s="21"/>
      <c r="G144" s="22"/>
    </row>
    <row r="145">
      <c r="E145" s="21"/>
      <c r="G145" s="22"/>
    </row>
    <row r="146">
      <c r="E146" s="21"/>
      <c r="G146" s="22"/>
    </row>
    <row r="147">
      <c r="E147" s="21"/>
      <c r="G147" s="22"/>
    </row>
    <row r="148">
      <c r="E148" s="21"/>
      <c r="G148" s="22"/>
    </row>
    <row r="149">
      <c r="E149" s="21"/>
      <c r="G149" s="22"/>
    </row>
    <row r="150">
      <c r="E150" s="21"/>
      <c r="G150" s="22"/>
    </row>
    <row r="151">
      <c r="E151" s="21"/>
      <c r="G151" s="22"/>
    </row>
    <row r="152">
      <c r="E152" s="21"/>
      <c r="G152" s="22"/>
    </row>
    <row r="153">
      <c r="E153" s="21"/>
      <c r="G153" s="22"/>
    </row>
    <row r="154">
      <c r="E154" s="21"/>
      <c r="G154" s="22"/>
    </row>
    <row r="155">
      <c r="E155" s="21"/>
      <c r="G155" s="22"/>
    </row>
    <row r="156">
      <c r="E156" s="21"/>
      <c r="G156" s="22"/>
    </row>
    <row r="157">
      <c r="E157" s="21"/>
      <c r="G157" s="22"/>
    </row>
    <row r="158">
      <c r="E158" s="21"/>
      <c r="G158" s="22"/>
    </row>
    <row r="159">
      <c r="E159" s="21"/>
      <c r="G159" s="22"/>
    </row>
    <row r="160">
      <c r="E160" s="21"/>
      <c r="G160" s="22"/>
    </row>
    <row r="161">
      <c r="E161" s="21"/>
      <c r="G161" s="22"/>
    </row>
    <row r="162">
      <c r="E162" s="21"/>
      <c r="G162" s="22"/>
    </row>
    <row r="163">
      <c r="E163" s="21"/>
      <c r="G163" s="22"/>
    </row>
    <row r="164">
      <c r="E164" s="21"/>
      <c r="G164" s="22"/>
    </row>
    <row r="165">
      <c r="E165" s="21"/>
      <c r="G165" s="22"/>
    </row>
    <row r="166">
      <c r="E166" s="21"/>
      <c r="G166" s="22"/>
    </row>
    <row r="167">
      <c r="E167" s="21"/>
      <c r="G167" s="22"/>
    </row>
    <row r="168">
      <c r="E168" s="21"/>
      <c r="G168" s="22"/>
    </row>
    <row r="169">
      <c r="E169" s="21"/>
      <c r="G169" s="22"/>
    </row>
    <row r="170">
      <c r="E170" s="21"/>
      <c r="G170" s="22"/>
    </row>
    <row r="171">
      <c r="E171" s="21"/>
      <c r="G171" s="22"/>
    </row>
    <row r="172">
      <c r="E172" s="21"/>
      <c r="G172" s="22"/>
    </row>
    <row r="173">
      <c r="E173" s="21"/>
      <c r="G173" s="22"/>
    </row>
    <row r="174">
      <c r="E174" s="21"/>
      <c r="G174" s="22"/>
    </row>
    <row r="175">
      <c r="E175" s="21"/>
      <c r="G175" s="22"/>
    </row>
    <row r="176">
      <c r="E176" s="21"/>
      <c r="G176" s="22"/>
    </row>
    <row r="177">
      <c r="E177" s="21"/>
      <c r="G177" s="22"/>
    </row>
    <row r="178">
      <c r="E178" s="21"/>
      <c r="G178" s="22"/>
    </row>
    <row r="179">
      <c r="E179" s="21"/>
      <c r="G179" s="22"/>
    </row>
    <row r="180">
      <c r="E180" s="21"/>
      <c r="G180" s="22"/>
    </row>
    <row r="181">
      <c r="E181" s="21"/>
      <c r="G181" s="22"/>
    </row>
    <row r="182">
      <c r="E182" s="21"/>
      <c r="G182" s="22"/>
    </row>
    <row r="183">
      <c r="E183" s="21"/>
      <c r="G183" s="22"/>
    </row>
    <row r="184">
      <c r="E184" s="21"/>
      <c r="G184" s="22"/>
    </row>
    <row r="185">
      <c r="E185" s="21"/>
      <c r="G185" s="22"/>
    </row>
    <row r="186">
      <c r="E186" s="21"/>
      <c r="G186" s="22"/>
    </row>
    <row r="187">
      <c r="E187" s="21"/>
      <c r="G187" s="22"/>
    </row>
    <row r="188">
      <c r="E188" s="21"/>
      <c r="G188" s="22"/>
    </row>
    <row r="189">
      <c r="E189" s="21"/>
      <c r="G189" s="22"/>
    </row>
    <row r="190">
      <c r="E190" s="21"/>
      <c r="G190" s="22"/>
    </row>
    <row r="191">
      <c r="E191" s="21"/>
      <c r="G191" s="22"/>
    </row>
    <row r="192">
      <c r="E192" s="21"/>
      <c r="G192" s="22"/>
    </row>
    <row r="193">
      <c r="E193" s="21"/>
      <c r="G193" s="22"/>
    </row>
    <row r="194">
      <c r="E194" s="21"/>
      <c r="G194" s="22"/>
    </row>
    <row r="195">
      <c r="E195" s="21"/>
      <c r="G195" s="22"/>
    </row>
    <row r="196">
      <c r="E196" s="21"/>
      <c r="G196" s="22"/>
    </row>
    <row r="197">
      <c r="E197" s="21"/>
      <c r="G197" s="22"/>
    </row>
    <row r="198">
      <c r="E198" s="21"/>
      <c r="G198" s="22"/>
    </row>
    <row r="199">
      <c r="E199" s="21"/>
      <c r="G199" s="22"/>
    </row>
    <row r="200">
      <c r="E200" s="21"/>
      <c r="G200" s="22"/>
    </row>
    <row r="201">
      <c r="E201" s="21"/>
      <c r="G201" s="22"/>
    </row>
    <row r="202">
      <c r="E202" s="21"/>
      <c r="G202" s="22"/>
    </row>
    <row r="203">
      <c r="E203" s="21"/>
      <c r="G203" s="22"/>
    </row>
    <row r="204">
      <c r="E204" s="21"/>
      <c r="G204" s="22"/>
    </row>
    <row r="205">
      <c r="E205" s="21"/>
      <c r="G205" s="22"/>
    </row>
    <row r="206">
      <c r="E206" s="21"/>
      <c r="G206" s="22"/>
    </row>
    <row r="207">
      <c r="E207" s="21"/>
      <c r="G207" s="22"/>
    </row>
    <row r="208">
      <c r="E208" s="21"/>
      <c r="G208" s="22"/>
    </row>
    <row r="209">
      <c r="E209" s="21"/>
      <c r="G209" s="22"/>
    </row>
    <row r="210">
      <c r="E210" s="21"/>
      <c r="G210" s="22"/>
    </row>
    <row r="211">
      <c r="E211" s="21"/>
      <c r="G211" s="22"/>
    </row>
    <row r="212">
      <c r="E212" s="21"/>
      <c r="G212" s="22"/>
    </row>
    <row r="213">
      <c r="E213" s="21"/>
      <c r="G213" s="22"/>
    </row>
    <row r="214">
      <c r="E214" s="21"/>
      <c r="G214" s="22"/>
    </row>
    <row r="215">
      <c r="E215" s="21"/>
      <c r="G215" s="22"/>
    </row>
    <row r="216">
      <c r="E216" s="21"/>
      <c r="G216" s="22"/>
    </row>
    <row r="217">
      <c r="E217" s="21"/>
      <c r="G217" s="22"/>
    </row>
    <row r="218">
      <c r="E218" s="21"/>
      <c r="G218" s="22"/>
    </row>
    <row r="219">
      <c r="E219" s="21"/>
      <c r="G219" s="22"/>
    </row>
    <row r="220">
      <c r="E220" s="21"/>
      <c r="G220" s="22"/>
    </row>
    <row r="221">
      <c r="E221" s="21"/>
      <c r="G221" s="22"/>
    </row>
    <row r="222">
      <c r="E222" s="21"/>
      <c r="G222" s="22"/>
    </row>
    <row r="223">
      <c r="E223" s="21"/>
      <c r="G223" s="22"/>
    </row>
    <row r="224">
      <c r="E224" s="21"/>
      <c r="G224" s="22"/>
    </row>
    <row r="225">
      <c r="E225" s="21"/>
      <c r="G225" s="22"/>
    </row>
    <row r="226">
      <c r="E226" s="21"/>
      <c r="G226" s="22"/>
    </row>
    <row r="227">
      <c r="E227" s="21"/>
      <c r="G227" s="22"/>
    </row>
    <row r="228">
      <c r="E228" s="21"/>
      <c r="G228" s="22"/>
    </row>
    <row r="229">
      <c r="E229" s="21"/>
      <c r="G229" s="22"/>
    </row>
    <row r="230">
      <c r="E230" s="21"/>
      <c r="G230" s="22"/>
    </row>
    <row r="231">
      <c r="E231" s="21"/>
      <c r="G231" s="22"/>
    </row>
    <row r="232">
      <c r="E232" s="21"/>
      <c r="G232" s="22"/>
    </row>
    <row r="233">
      <c r="E233" s="21"/>
      <c r="G233" s="22"/>
    </row>
    <row r="234">
      <c r="E234" s="21"/>
      <c r="G234" s="22"/>
    </row>
    <row r="235">
      <c r="E235" s="21"/>
      <c r="G235" s="22"/>
    </row>
    <row r="236">
      <c r="E236" s="21"/>
      <c r="G236" s="22"/>
    </row>
    <row r="237">
      <c r="E237" s="21"/>
      <c r="G237" s="22"/>
    </row>
    <row r="238">
      <c r="E238" s="21"/>
      <c r="G238" s="22"/>
    </row>
    <row r="239">
      <c r="E239" s="21"/>
      <c r="G239" s="22"/>
    </row>
    <row r="240">
      <c r="E240" s="21"/>
      <c r="G240" s="22"/>
    </row>
    <row r="241">
      <c r="E241" s="21"/>
      <c r="G241" s="22"/>
    </row>
    <row r="242">
      <c r="E242" s="21"/>
      <c r="G242" s="22"/>
    </row>
    <row r="243">
      <c r="E243" s="21"/>
      <c r="G243" s="22"/>
    </row>
    <row r="244">
      <c r="E244" s="21"/>
      <c r="G244" s="22"/>
    </row>
    <row r="245">
      <c r="E245" s="21"/>
      <c r="G245" s="22"/>
    </row>
    <row r="246">
      <c r="E246" s="21"/>
      <c r="G246" s="22"/>
    </row>
    <row r="247">
      <c r="E247" s="21"/>
      <c r="G247" s="22"/>
    </row>
    <row r="248">
      <c r="E248" s="21"/>
      <c r="G248" s="22"/>
    </row>
    <row r="249">
      <c r="E249" s="21"/>
      <c r="G249" s="22"/>
    </row>
    <row r="250">
      <c r="E250" s="21"/>
      <c r="G250" s="22"/>
    </row>
    <row r="251">
      <c r="E251" s="21"/>
      <c r="G251" s="22"/>
    </row>
    <row r="252">
      <c r="E252" s="21"/>
      <c r="G252" s="22"/>
    </row>
    <row r="253">
      <c r="E253" s="21"/>
      <c r="G253" s="22"/>
    </row>
    <row r="254">
      <c r="E254" s="21"/>
      <c r="G254" s="22"/>
    </row>
    <row r="255">
      <c r="E255" s="21"/>
      <c r="G255" s="22"/>
    </row>
    <row r="256">
      <c r="E256" s="21"/>
      <c r="G256" s="22"/>
    </row>
    <row r="257">
      <c r="E257" s="21"/>
      <c r="G257" s="22"/>
    </row>
    <row r="258">
      <c r="E258" s="21"/>
      <c r="G258" s="22"/>
    </row>
    <row r="259">
      <c r="E259" s="21"/>
      <c r="G259" s="22"/>
    </row>
    <row r="260">
      <c r="E260" s="21"/>
      <c r="G260" s="22"/>
    </row>
    <row r="261">
      <c r="E261" s="21"/>
      <c r="G261" s="22"/>
    </row>
    <row r="262">
      <c r="E262" s="21"/>
      <c r="G262" s="22"/>
    </row>
    <row r="263">
      <c r="E263" s="21"/>
      <c r="G263" s="22"/>
    </row>
    <row r="264">
      <c r="E264" s="21"/>
      <c r="G264" s="22"/>
    </row>
    <row r="265">
      <c r="E265" s="21"/>
      <c r="G265" s="22"/>
    </row>
    <row r="266">
      <c r="E266" s="21"/>
      <c r="G266" s="22"/>
    </row>
    <row r="267">
      <c r="E267" s="21"/>
      <c r="G267" s="22"/>
    </row>
    <row r="268">
      <c r="E268" s="21"/>
      <c r="G268" s="22"/>
    </row>
    <row r="269">
      <c r="E269" s="21"/>
      <c r="G269" s="22"/>
    </row>
    <row r="270">
      <c r="E270" s="21"/>
      <c r="G270" s="22"/>
    </row>
    <row r="271">
      <c r="E271" s="21"/>
      <c r="G271" s="22"/>
    </row>
    <row r="272">
      <c r="E272" s="21"/>
      <c r="G272" s="22"/>
    </row>
    <row r="273">
      <c r="E273" s="21"/>
      <c r="G273" s="22"/>
    </row>
    <row r="274">
      <c r="E274" s="21"/>
      <c r="G274" s="22"/>
    </row>
    <row r="275">
      <c r="E275" s="21"/>
      <c r="G275" s="22"/>
    </row>
    <row r="276">
      <c r="E276" s="21"/>
      <c r="G276" s="22"/>
    </row>
    <row r="277">
      <c r="E277" s="21"/>
      <c r="G277" s="22"/>
    </row>
    <row r="278">
      <c r="E278" s="21"/>
      <c r="G278" s="22"/>
    </row>
    <row r="279">
      <c r="E279" s="21"/>
      <c r="G279" s="22"/>
    </row>
    <row r="280">
      <c r="E280" s="21"/>
      <c r="G280" s="22"/>
    </row>
    <row r="281">
      <c r="E281" s="21"/>
      <c r="G281" s="22"/>
    </row>
    <row r="282">
      <c r="E282" s="21"/>
      <c r="G282" s="22"/>
    </row>
    <row r="283">
      <c r="E283" s="21"/>
      <c r="G283" s="22"/>
    </row>
    <row r="284">
      <c r="E284" s="21"/>
      <c r="G284" s="22"/>
    </row>
    <row r="285">
      <c r="E285" s="21"/>
      <c r="G285" s="22"/>
    </row>
    <row r="286">
      <c r="E286" s="21"/>
      <c r="G286" s="22"/>
    </row>
    <row r="287">
      <c r="E287" s="21"/>
      <c r="G287" s="22"/>
    </row>
    <row r="288">
      <c r="E288" s="21"/>
      <c r="G288" s="22"/>
    </row>
    <row r="289">
      <c r="E289" s="21"/>
      <c r="G289" s="22"/>
    </row>
    <row r="290">
      <c r="E290" s="21"/>
      <c r="G290" s="22"/>
    </row>
    <row r="291">
      <c r="E291" s="21"/>
      <c r="G291" s="22"/>
    </row>
    <row r="292">
      <c r="E292" s="21"/>
      <c r="G292" s="22"/>
    </row>
    <row r="293">
      <c r="E293" s="21"/>
      <c r="G293" s="22"/>
    </row>
    <row r="294">
      <c r="E294" s="21"/>
      <c r="G294" s="22"/>
    </row>
    <row r="295">
      <c r="E295" s="21"/>
      <c r="G295" s="22"/>
    </row>
    <row r="296">
      <c r="E296" s="21"/>
      <c r="G296" s="22"/>
    </row>
    <row r="297">
      <c r="E297" s="21"/>
      <c r="G297" s="22"/>
    </row>
    <row r="298">
      <c r="E298" s="21"/>
      <c r="G298" s="22"/>
    </row>
    <row r="299">
      <c r="E299" s="21"/>
      <c r="G299" s="22"/>
    </row>
    <row r="300">
      <c r="E300" s="21"/>
      <c r="G300" s="22"/>
    </row>
    <row r="301">
      <c r="E301" s="21"/>
      <c r="G301" s="22"/>
    </row>
    <row r="302">
      <c r="E302" s="21"/>
      <c r="G302" s="22"/>
    </row>
    <row r="303">
      <c r="E303" s="21"/>
      <c r="G303" s="22"/>
    </row>
    <row r="304">
      <c r="E304" s="21"/>
      <c r="G304" s="22"/>
    </row>
    <row r="305">
      <c r="E305" s="21"/>
      <c r="G305" s="22"/>
    </row>
    <row r="306">
      <c r="E306" s="21"/>
      <c r="G306" s="22"/>
    </row>
    <row r="307">
      <c r="E307" s="21"/>
      <c r="G307" s="22"/>
    </row>
    <row r="308">
      <c r="E308" s="21"/>
      <c r="G308" s="22"/>
    </row>
    <row r="309">
      <c r="E309" s="21"/>
      <c r="G309" s="22"/>
    </row>
    <row r="310">
      <c r="E310" s="21"/>
      <c r="G310" s="22"/>
    </row>
    <row r="311">
      <c r="E311" s="21"/>
      <c r="G311" s="22"/>
    </row>
    <row r="312">
      <c r="E312" s="21"/>
      <c r="G312" s="22"/>
    </row>
    <row r="313">
      <c r="E313" s="21"/>
      <c r="G313" s="22"/>
    </row>
    <row r="314">
      <c r="E314" s="21"/>
      <c r="G314" s="22"/>
    </row>
    <row r="315">
      <c r="E315" s="21"/>
      <c r="G315" s="22"/>
    </row>
    <row r="316">
      <c r="E316" s="21"/>
      <c r="G316" s="22"/>
    </row>
    <row r="317">
      <c r="E317" s="21"/>
      <c r="G317" s="22"/>
    </row>
    <row r="318">
      <c r="E318" s="21"/>
      <c r="G318" s="22"/>
    </row>
    <row r="319">
      <c r="E319" s="21"/>
      <c r="G319" s="22"/>
    </row>
    <row r="320">
      <c r="E320" s="21"/>
      <c r="G320" s="22"/>
    </row>
    <row r="321">
      <c r="E321" s="21"/>
      <c r="G321" s="22"/>
    </row>
    <row r="322">
      <c r="E322" s="21"/>
      <c r="G322" s="22"/>
    </row>
    <row r="323">
      <c r="E323" s="21"/>
      <c r="G323" s="22"/>
    </row>
    <row r="324">
      <c r="E324" s="21"/>
      <c r="G324" s="22"/>
    </row>
    <row r="325">
      <c r="E325" s="21"/>
      <c r="G325" s="22"/>
    </row>
    <row r="326">
      <c r="E326" s="21"/>
      <c r="G326" s="22"/>
    </row>
    <row r="327">
      <c r="E327" s="21"/>
      <c r="G327" s="22"/>
    </row>
    <row r="328">
      <c r="E328" s="21"/>
      <c r="G328" s="22"/>
    </row>
    <row r="329">
      <c r="E329" s="21"/>
      <c r="G329" s="22"/>
    </row>
    <row r="330">
      <c r="E330" s="21"/>
      <c r="G330" s="22"/>
    </row>
    <row r="331">
      <c r="E331" s="21"/>
      <c r="G331" s="22"/>
    </row>
    <row r="332">
      <c r="E332" s="21"/>
      <c r="G332" s="22"/>
    </row>
    <row r="333">
      <c r="E333" s="21"/>
      <c r="G333" s="22"/>
    </row>
    <row r="334">
      <c r="E334" s="21"/>
      <c r="G334" s="22"/>
    </row>
    <row r="335">
      <c r="E335" s="21"/>
      <c r="G335" s="22"/>
    </row>
    <row r="336">
      <c r="E336" s="21"/>
      <c r="G336" s="22"/>
    </row>
    <row r="337">
      <c r="E337" s="21"/>
      <c r="G337" s="22"/>
    </row>
    <row r="338">
      <c r="E338" s="21"/>
      <c r="G338" s="22"/>
    </row>
    <row r="339">
      <c r="E339" s="21"/>
      <c r="G339" s="22"/>
    </row>
    <row r="340">
      <c r="E340" s="21"/>
      <c r="G340" s="22"/>
    </row>
    <row r="341">
      <c r="E341" s="21"/>
      <c r="G341" s="22"/>
    </row>
    <row r="342">
      <c r="E342" s="21"/>
      <c r="G342" s="22"/>
    </row>
    <row r="343">
      <c r="E343" s="21"/>
      <c r="G343" s="22"/>
    </row>
    <row r="344">
      <c r="E344" s="21"/>
      <c r="G344" s="22"/>
    </row>
    <row r="345">
      <c r="E345" s="21"/>
      <c r="G345" s="22"/>
    </row>
    <row r="346">
      <c r="E346" s="21"/>
      <c r="G346" s="22"/>
    </row>
    <row r="347">
      <c r="E347" s="21"/>
      <c r="G347" s="22"/>
    </row>
    <row r="348">
      <c r="E348" s="21"/>
      <c r="G348" s="22"/>
    </row>
    <row r="349">
      <c r="E349" s="21"/>
      <c r="G349" s="22"/>
    </row>
    <row r="350">
      <c r="E350" s="21"/>
      <c r="G350" s="22"/>
    </row>
    <row r="351">
      <c r="E351" s="21"/>
      <c r="G351" s="22"/>
    </row>
    <row r="352">
      <c r="E352" s="21"/>
      <c r="G352" s="22"/>
    </row>
    <row r="353">
      <c r="E353" s="21"/>
      <c r="G353" s="22"/>
    </row>
    <row r="354">
      <c r="E354" s="21"/>
      <c r="G354" s="22"/>
    </row>
    <row r="355">
      <c r="E355" s="21"/>
      <c r="G355" s="22"/>
    </row>
    <row r="356">
      <c r="E356" s="21"/>
      <c r="G356" s="22"/>
    </row>
    <row r="357">
      <c r="E357" s="21"/>
      <c r="G357" s="22"/>
    </row>
    <row r="358">
      <c r="E358" s="21"/>
      <c r="G358" s="22"/>
    </row>
    <row r="359">
      <c r="E359" s="21"/>
      <c r="G359" s="22"/>
    </row>
    <row r="360">
      <c r="E360" s="21"/>
      <c r="G360" s="22"/>
    </row>
    <row r="361">
      <c r="E361" s="21"/>
      <c r="G361" s="22"/>
    </row>
    <row r="362">
      <c r="E362" s="21"/>
      <c r="G362" s="22"/>
    </row>
    <row r="363">
      <c r="E363" s="21"/>
      <c r="G363" s="22"/>
    </row>
    <row r="364">
      <c r="E364" s="21"/>
      <c r="G364" s="22"/>
    </row>
    <row r="365">
      <c r="E365" s="21"/>
      <c r="G365" s="22"/>
    </row>
    <row r="366">
      <c r="E366" s="21"/>
      <c r="G366" s="22"/>
    </row>
    <row r="367">
      <c r="E367" s="21"/>
      <c r="G367" s="22"/>
    </row>
    <row r="368">
      <c r="E368" s="21"/>
      <c r="G368" s="22"/>
    </row>
    <row r="369">
      <c r="E369" s="21"/>
      <c r="G369" s="22"/>
    </row>
    <row r="370">
      <c r="E370" s="21"/>
      <c r="G370" s="22"/>
    </row>
    <row r="371">
      <c r="E371" s="21"/>
      <c r="G371" s="22"/>
    </row>
    <row r="372">
      <c r="E372" s="21"/>
      <c r="G372" s="22"/>
    </row>
    <row r="373">
      <c r="E373" s="21"/>
      <c r="G373" s="22"/>
    </row>
    <row r="374">
      <c r="E374" s="21"/>
      <c r="G374" s="22"/>
    </row>
    <row r="375">
      <c r="E375" s="21"/>
      <c r="G375" s="22"/>
    </row>
    <row r="376">
      <c r="E376" s="21"/>
      <c r="G376" s="22"/>
    </row>
    <row r="377">
      <c r="E377" s="21"/>
      <c r="G377" s="22"/>
    </row>
    <row r="378">
      <c r="E378" s="21"/>
      <c r="G378" s="22"/>
    </row>
    <row r="379">
      <c r="E379" s="21"/>
      <c r="G379" s="22"/>
    </row>
    <row r="380">
      <c r="E380" s="21"/>
      <c r="G380" s="22"/>
    </row>
    <row r="381">
      <c r="E381" s="21"/>
      <c r="G381" s="22"/>
    </row>
    <row r="382">
      <c r="E382" s="21"/>
      <c r="G382" s="22"/>
    </row>
    <row r="383">
      <c r="E383" s="21"/>
      <c r="G383" s="22"/>
    </row>
    <row r="384">
      <c r="E384" s="21"/>
      <c r="G384" s="22"/>
    </row>
    <row r="385">
      <c r="E385" s="21"/>
      <c r="G385" s="22"/>
    </row>
    <row r="386">
      <c r="E386" s="21"/>
      <c r="G386" s="22"/>
    </row>
    <row r="387">
      <c r="E387" s="21"/>
      <c r="G387" s="22"/>
    </row>
    <row r="388">
      <c r="E388" s="21"/>
      <c r="G388" s="22"/>
    </row>
    <row r="389">
      <c r="E389" s="21"/>
      <c r="G389" s="22"/>
    </row>
    <row r="390">
      <c r="E390" s="21"/>
      <c r="G390" s="22"/>
    </row>
    <row r="391">
      <c r="E391" s="21"/>
      <c r="G391" s="22"/>
    </row>
    <row r="392">
      <c r="E392" s="21"/>
      <c r="G392" s="22"/>
    </row>
    <row r="393">
      <c r="E393" s="21"/>
      <c r="G393" s="22"/>
    </row>
    <row r="394">
      <c r="E394" s="21"/>
      <c r="G394" s="22"/>
    </row>
    <row r="395">
      <c r="E395" s="21"/>
      <c r="G395" s="22"/>
    </row>
    <row r="396">
      <c r="E396" s="21"/>
      <c r="G396" s="22"/>
    </row>
    <row r="397">
      <c r="E397" s="21"/>
      <c r="G397" s="22"/>
    </row>
    <row r="398">
      <c r="E398" s="21"/>
      <c r="G398" s="22"/>
    </row>
    <row r="399">
      <c r="E399" s="21"/>
      <c r="G399" s="22"/>
    </row>
    <row r="400">
      <c r="E400" s="21"/>
      <c r="G400" s="22"/>
    </row>
    <row r="401">
      <c r="E401" s="21"/>
      <c r="G401" s="22"/>
    </row>
    <row r="402">
      <c r="E402" s="21"/>
      <c r="G402" s="22"/>
    </row>
    <row r="403">
      <c r="E403" s="21"/>
      <c r="G403" s="22"/>
    </row>
    <row r="404">
      <c r="E404" s="21"/>
      <c r="G404" s="22"/>
    </row>
    <row r="405">
      <c r="E405" s="21"/>
      <c r="G405" s="22"/>
    </row>
    <row r="406">
      <c r="E406" s="21"/>
      <c r="G406" s="22"/>
    </row>
    <row r="407">
      <c r="E407" s="21"/>
      <c r="G407" s="22"/>
    </row>
    <row r="408">
      <c r="E408" s="21"/>
      <c r="G408" s="22"/>
    </row>
    <row r="409">
      <c r="E409" s="21"/>
      <c r="G409" s="22"/>
    </row>
    <row r="410">
      <c r="E410" s="21"/>
      <c r="G410" s="22"/>
    </row>
    <row r="411">
      <c r="E411" s="21"/>
      <c r="G411" s="22"/>
    </row>
    <row r="412">
      <c r="E412" s="21"/>
      <c r="G412" s="22"/>
    </row>
    <row r="413">
      <c r="E413" s="21"/>
      <c r="G413" s="22"/>
    </row>
    <row r="414">
      <c r="E414" s="21"/>
      <c r="G414" s="22"/>
    </row>
    <row r="415">
      <c r="E415" s="21"/>
      <c r="G415" s="22"/>
    </row>
    <row r="416">
      <c r="E416" s="21"/>
      <c r="G416" s="22"/>
    </row>
    <row r="417">
      <c r="E417" s="21"/>
      <c r="G417" s="22"/>
    </row>
    <row r="418">
      <c r="E418" s="21"/>
      <c r="G418" s="22"/>
    </row>
    <row r="419">
      <c r="E419" s="21"/>
      <c r="G419" s="22"/>
    </row>
    <row r="420">
      <c r="E420" s="21"/>
      <c r="G420" s="22"/>
    </row>
    <row r="421">
      <c r="E421" s="21"/>
      <c r="G421" s="22"/>
    </row>
    <row r="422">
      <c r="E422" s="21"/>
      <c r="G422" s="22"/>
    </row>
    <row r="423">
      <c r="E423" s="21"/>
      <c r="G423" s="22"/>
    </row>
    <row r="424">
      <c r="E424" s="21"/>
      <c r="G424" s="22"/>
    </row>
    <row r="425">
      <c r="E425" s="21"/>
      <c r="G425" s="22"/>
    </row>
    <row r="426">
      <c r="E426" s="21"/>
      <c r="G426" s="22"/>
    </row>
    <row r="427">
      <c r="E427" s="21"/>
      <c r="G427" s="22"/>
    </row>
    <row r="428">
      <c r="E428" s="21"/>
      <c r="G428" s="22"/>
    </row>
    <row r="429">
      <c r="E429" s="21"/>
      <c r="G429" s="22"/>
    </row>
    <row r="430">
      <c r="E430" s="21"/>
      <c r="G430" s="22"/>
    </row>
    <row r="431">
      <c r="E431" s="21"/>
      <c r="G431" s="22"/>
    </row>
    <row r="432">
      <c r="E432" s="21"/>
      <c r="G432" s="22"/>
    </row>
    <row r="433">
      <c r="E433" s="21"/>
      <c r="G433" s="22"/>
    </row>
    <row r="434">
      <c r="E434" s="21"/>
      <c r="G434" s="22"/>
    </row>
    <row r="435">
      <c r="E435" s="21"/>
      <c r="G435" s="22"/>
    </row>
    <row r="436">
      <c r="E436" s="21"/>
      <c r="G436" s="22"/>
    </row>
    <row r="437">
      <c r="E437" s="21"/>
      <c r="G437" s="22"/>
    </row>
    <row r="438">
      <c r="E438" s="21"/>
      <c r="G438" s="22"/>
    </row>
    <row r="439">
      <c r="E439" s="21"/>
      <c r="G439" s="22"/>
    </row>
    <row r="440">
      <c r="E440" s="21"/>
      <c r="G440" s="22"/>
    </row>
    <row r="441">
      <c r="E441" s="21"/>
      <c r="G441" s="22"/>
    </row>
    <row r="442">
      <c r="E442" s="21"/>
      <c r="G442" s="22"/>
    </row>
    <row r="443">
      <c r="E443" s="21"/>
      <c r="G443" s="22"/>
    </row>
    <row r="444">
      <c r="E444" s="21"/>
      <c r="G444" s="22"/>
    </row>
    <row r="445">
      <c r="E445" s="21"/>
      <c r="G445" s="22"/>
    </row>
    <row r="446">
      <c r="E446" s="21"/>
      <c r="G446" s="22"/>
    </row>
    <row r="447">
      <c r="E447" s="21"/>
      <c r="G447" s="22"/>
    </row>
    <row r="448">
      <c r="E448" s="21"/>
      <c r="G448" s="22"/>
    </row>
    <row r="449">
      <c r="E449" s="21"/>
      <c r="G449" s="22"/>
    </row>
    <row r="450">
      <c r="E450" s="21"/>
      <c r="G450" s="22"/>
    </row>
    <row r="451">
      <c r="E451" s="21"/>
      <c r="G451" s="22"/>
    </row>
    <row r="452">
      <c r="E452" s="21"/>
      <c r="G452" s="22"/>
    </row>
    <row r="453">
      <c r="E453" s="21"/>
      <c r="G453" s="22"/>
    </row>
    <row r="454">
      <c r="E454" s="21"/>
      <c r="G454" s="22"/>
    </row>
    <row r="455">
      <c r="E455" s="21"/>
      <c r="G455" s="22"/>
    </row>
    <row r="456">
      <c r="E456" s="21"/>
      <c r="G456" s="22"/>
    </row>
    <row r="457">
      <c r="E457" s="21"/>
      <c r="G457" s="22"/>
    </row>
    <row r="458">
      <c r="E458" s="21"/>
      <c r="G458" s="22"/>
    </row>
    <row r="459">
      <c r="E459" s="21"/>
      <c r="G459" s="22"/>
    </row>
    <row r="460">
      <c r="E460" s="21"/>
      <c r="G460" s="22"/>
    </row>
    <row r="461">
      <c r="E461" s="21"/>
      <c r="G461" s="22"/>
    </row>
    <row r="462">
      <c r="E462" s="21"/>
      <c r="G462" s="22"/>
    </row>
    <row r="463">
      <c r="E463" s="21"/>
      <c r="G463" s="22"/>
    </row>
    <row r="464">
      <c r="E464" s="21"/>
      <c r="G464" s="22"/>
    </row>
    <row r="465">
      <c r="E465" s="21"/>
      <c r="G465" s="22"/>
    </row>
    <row r="466">
      <c r="E466" s="21"/>
      <c r="G466" s="22"/>
    </row>
    <row r="467">
      <c r="E467" s="21"/>
      <c r="G467" s="22"/>
    </row>
    <row r="468">
      <c r="E468" s="21"/>
      <c r="G468" s="22"/>
    </row>
    <row r="469">
      <c r="E469" s="21"/>
      <c r="G469" s="22"/>
    </row>
    <row r="470">
      <c r="E470" s="21"/>
      <c r="G470" s="22"/>
    </row>
    <row r="471">
      <c r="E471" s="21"/>
      <c r="G471" s="22"/>
    </row>
    <row r="472">
      <c r="E472" s="21"/>
      <c r="G472" s="22"/>
    </row>
    <row r="473">
      <c r="E473" s="21"/>
      <c r="G473" s="22"/>
    </row>
    <row r="474">
      <c r="E474" s="21"/>
      <c r="G474" s="22"/>
    </row>
    <row r="475">
      <c r="E475" s="21"/>
      <c r="G475" s="22"/>
    </row>
    <row r="476">
      <c r="E476" s="21"/>
      <c r="G476" s="22"/>
    </row>
    <row r="477">
      <c r="E477" s="21"/>
      <c r="G477" s="22"/>
    </row>
    <row r="478">
      <c r="E478" s="21"/>
      <c r="G478" s="22"/>
    </row>
    <row r="479">
      <c r="E479" s="21"/>
      <c r="G479" s="22"/>
    </row>
    <row r="480">
      <c r="E480" s="21"/>
      <c r="G480" s="22"/>
    </row>
    <row r="481">
      <c r="E481" s="21"/>
      <c r="G481" s="22"/>
    </row>
    <row r="482">
      <c r="E482" s="21"/>
      <c r="G482" s="22"/>
    </row>
    <row r="483">
      <c r="E483" s="21"/>
      <c r="G483" s="22"/>
    </row>
    <row r="484">
      <c r="E484" s="21"/>
      <c r="G484" s="22"/>
    </row>
    <row r="485">
      <c r="E485" s="21"/>
      <c r="G485" s="22"/>
    </row>
    <row r="486">
      <c r="E486" s="21"/>
      <c r="G486" s="22"/>
    </row>
    <row r="487">
      <c r="E487" s="21"/>
      <c r="G487" s="22"/>
    </row>
    <row r="488">
      <c r="E488" s="21"/>
      <c r="G488" s="22"/>
    </row>
    <row r="489">
      <c r="E489" s="21"/>
      <c r="G489" s="22"/>
    </row>
    <row r="490">
      <c r="E490" s="21"/>
      <c r="G490" s="22"/>
    </row>
    <row r="491">
      <c r="E491" s="21"/>
      <c r="G491" s="22"/>
    </row>
    <row r="492">
      <c r="E492" s="21"/>
      <c r="G492" s="22"/>
    </row>
    <row r="493">
      <c r="E493" s="21"/>
      <c r="G493" s="22"/>
    </row>
    <row r="494">
      <c r="E494" s="21"/>
      <c r="G494" s="22"/>
    </row>
    <row r="495">
      <c r="E495" s="21"/>
      <c r="G495" s="22"/>
    </row>
    <row r="496">
      <c r="E496" s="21"/>
      <c r="G496" s="22"/>
    </row>
    <row r="497">
      <c r="E497" s="21"/>
      <c r="G497" s="22"/>
    </row>
    <row r="498">
      <c r="E498" s="21"/>
      <c r="G498" s="22"/>
    </row>
    <row r="499">
      <c r="E499" s="21"/>
      <c r="G499" s="22"/>
    </row>
    <row r="500">
      <c r="E500" s="21"/>
      <c r="G500" s="22"/>
    </row>
    <row r="501">
      <c r="E501" s="21"/>
      <c r="G501" s="22"/>
    </row>
    <row r="502">
      <c r="E502" s="21"/>
      <c r="G502" s="22"/>
    </row>
    <row r="503">
      <c r="E503" s="21"/>
      <c r="G503" s="22"/>
    </row>
    <row r="504">
      <c r="E504" s="21"/>
      <c r="G504" s="22"/>
    </row>
    <row r="505">
      <c r="E505" s="21"/>
      <c r="G505" s="22"/>
    </row>
    <row r="506">
      <c r="E506" s="21"/>
      <c r="G506" s="22"/>
    </row>
    <row r="507">
      <c r="E507" s="21"/>
      <c r="G507" s="22"/>
    </row>
    <row r="508">
      <c r="E508" s="21"/>
      <c r="G508" s="22"/>
    </row>
    <row r="509">
      <c r="E509" s="21"/>
      <c r="G509" s="22"/>
    </row>
    <row r="510">
      <c r="E510" s="21"/>
      <c r="G510" s="22"/>
    </row>
    <row r="511">
      <c r="E511" s="21"/>
      <c r="G511" s="22"/>
    </row>
    <row r="512">
      <c r="E512" s="21"/>
      <c r="G512" s="22"/>
    </row>
    <row r="513">
      <c r="E513" s="21"/>
      <c r="G513" s="22"/>
    </row>
    <row r="514">
      <c r="E514" s="21"/>
      <c r="G514" s="22"/>
    </row>
    <row r="515">
      <c r="E515" s="21"/>
      <c r="G515" s="22"/>
    </row>
    <row r="516">
      <c r="E516" s="21"/>
      <c r="G516" s="22"/>
    </row>
    <row r="517">
      <c r="E517" s="21"/>
      <c r="G517" s="22"/>
    </row>
    <row r="518">
      <c r="E518" s="21"/>
      <c r="G518" s="22"/>
    </row>
    <row r="519">
      <c r="E519" s="21"/>
      <c r="G519" s="22"/>
    </row>
    <row r="520">
      <c r="E520" s="21"/>
      <c r="G520" s="22"/>
    </row>
    <row r="521">
      <c r="E521" s="21"/>
      <c r="G521" s="22"/>
    </row>
    <row r="522">
      <c r="E522" s="21"/>
      <c r="G522" s="22"/>
    </row>
    <row r="523">
      <c r="E523" s="21"/>
      <c r="G523" s="22"/>
    </row>
    <row r="524">
      <c r="E524" s="21"/>
      <c r="G524" s="22"/>
    </row>
    <row r="525">
      <c r="E525" s="21"/>
      <c r="G525" s="22"/>
    </row>
    <row r="526">
      <c r="E526" s="21"/>
      <c r="G526" s="22"/>
    </row>
    <row r="527">
      <c r="E527" s="21"/>
      <c r="G527" s="22"/>
    </row>
    <row r="528">
      <c r="E528" s="21"/>
      <c r="G528" s="22"/>
    </row>
    <row r="529">
      <c r="E529" s="21"/>
      <c r="G529" s="22"/>
    </row>
    <row r="530">
      <c r="E530" s="21"/>
      <c r="G530" s="22"/>
    </row>
    <row r="531">
      <c r="E531" s="21"/>
      <c r="G531" s="22"/>
    </row>
    <row r="532">
      <c r="E532" s="21"/>
      <c r="G532" s="22"/>
    </row>
    <row r="533">
      <c r="E533" s="21"/>
      <c r="G533" s="22"/>
    </row>
    <row r="534">
      <c r="E534" s="21"/>
      <c r="G534" s="22"/>
    </row>
    <row r="535">
      <c r="E535" s="21"/>
      <c r="G535" s="22"/>
    </row>
    <row r="536">
      <c r="E536" s="21"/>
      <c r="G536" s="22"/>
    </row>
    <row r="537">
      <c r="E537" s="21"/>
      <c r="G537" s="22"/>
    </row>
    <row r="538">
      <c r="E538" s="21"/>
      <c r="G538" s="22"/>
    </row>
    <row r="539">
      <c r="E539" s="21"/>
      <c r="G539" s="22"/>
    </row>
    <row r="540">
      <c r="E540" s="21"/>
      <c r="G540" s="22"/>
    </row>
    <row r="541">
      <c r="E541" s="21"/>
      <c r="G541" s="22"/>
    </row>
    <row r="542">
      <c r="E542" s="21"/>
      <c r="G542" s="22"/>
    </row>
    <row r="543">
      <c r="E543" s="21"/>
      <c r="G543" s="22"/>
    </row>
    <row r="544">
      <c r="E544" s="21"/>
      <c r="G544" s="22"/>
    </row>
    <row r="545">
      <c r="E545" s="21"/>
      <c r="G545" s="22"/>
    </row>
    <row r="546">
      <c r="E546" s="21"/>
      <c r="G546" s="22"/>
    </row>
    <row r="547">
      <c r="E547" s="21"/>
      <c r="G547" s="22"/>
    </row>
    <row r="548">
      <c r="E548" s="21"/>
      <c r="G548" s="22"/>
    </row>
    <row r="549">
      <c r="E549" s="21"/>
      <c r="G549" s="22"/>
    </row>
    <row r="550">
      <c r="E550" s="21"/>
      <c r="G550" s="22"/>
    </row>
    <row r="551">
      <c r="E551" s="21"/>
      <c r="G551" s="22"/>
    </row>
    <row r="552">
      <c r="E552" s="21"/>
      <c r="G552" s="22"/>
    </row>
    <row r="553">
      <c r="E553" s="21"/>
      <c r="G553" s="22"/>
    </row>
    <row r="554">
      <c r="E554" s="21"/>
      <c r="G554" s="22"/>
    </row>
    <row r="555">
      <c r="E555" s="21"/>
      <c r="G555" s="22"/>
    </row>
    <row r="556">
      <c r="E556" s="21"/>
      <c r="G556" s="22"/>
    </row>
    <row r="557">
      <c r="E557" s="21"/>
      <c r="G557" s="22"/>
    </row>
    <row r="558">
      <c r="E558" s="21"/>
      <c r="G558" s="22"/>
    </row>
    <row r="559">
      <c r="E559" s="21"/>
      <c r="G559" s="22"/>
    </row>
    <row r="560">
      <c r="E560" s="21"/>
      <c r="G560" s="22"/>
    </row>
    <row r="561">
      <c r="E561" s="21"/>
      <c r="G561" s="22"/>
    </row>
    <row r="562">
      <c r="E562" s="21"/>
      <c r="G562" s="22"/>
    </row>
    <row r="563">
      <c r="E563" s="21"/>
      <c r="G563" s="22"/>
    </row>
    <row r="564">
      <c r="E564" s="21"/>
      <c r="G564" s="22"/>
    </row>
    <row r="565">
      <c r="E565" s="21"/>
      <c r="G565" s="22"/>
    </row>
    <row r="566">
      <c r="E566" s="21"/>
      <c r="G566" s="22"/>
    </row>
    <row r="567">
      <c r="E567" s="21"/>
      <c r="G567" s="22"/>
    </row>
    <row r="568">
      <c r="E568" s="21"/>
      <c r="G568" s="22"/>
    </row>
    <row r="569">
      <c r="E569" s="21"/>
      <c r="G569" s="22"/>
    </row>
    <row r="570">
      <c r="E570" s="21"/>
      <c r="G570" s="22"/>
    </row>
    <row r="571">
      <c r="E571" s="21"/>
      <c r="G571" s="22"/>
    </row>
    <row r="572">
      <c r="E572" s="21"/>
      <c r="G572" s="22"/>
    </row>
    <row r="573">
      <c r="E573" s="21"/>
      <c r="G573" s="22"/>
    </row>
    <row r="574">
      <c r="E574" s="21"/>
      <c r="G574" s="22"/>
    </row>
    <row r="575">
      <c r="E575" s="21"/>
      <c r="G575" s="22"/>
    </row>
    <row r="576">
      <c r="E576" s="21"/>
      <c r="G576" s="22"/>
    </row>
    <row r="577">
      <c r="E577" s="21"/>
      <c r="G577" s="22"/>
    </row>
    <row r="578">
      <c r="E578" s="21"/>
      <c r="G578" s="22"/>
    </row>
    <row r="579">
      <c r="E579" s="21"/>
      <c r="G579" s="22"/>
    </row>
    <row r="580">
      <c r="E580" s="21"/>
      <c r="G580" s="22"/>
    </row>
    <row r="581">
      <c r="E581" s="21"/>
      <c r="G581" s="22"/>
    </row>
    <row r="582">
      <c r="E582" s="21"/>
      <c r="G582" s="22"/>
    </row>
    <row r="583">
      <c r="E583" s="21"/>
      <c r="G583" s="22"/>
    </row>
    <row r="584">
      <c r="E584" s="21"/>
      <c r="G584" s="22"/>
    </row>
    <row r="585">
      <c r="E585" s="21"/>
      <c r="G585" s="22"/>
    </row>
    <row r="586">
      <c r="E586" s="21"/>
      <c r="G586" s="22"/>
    </row>
    <row r="587">
      <c r="E587" s="21"/>
      <c r="G587" s="22"/>
    </row>
    <row r="588">
      <c r="E588" s="21"/>
      <c r="G588" s="22"/>
    </row>
    <row r="589">
      <c r="E589" s="21"/>
      <c r="G589" s="22"/>
    </row>
    <row r="590">
      <c r="E590" s="21"/>
      <c r="G590" s="22"/>
    </row>
    <row r="591">
      <c r="E591" s="21"/>
      <c r="G591" s="22"/>
    </row>
    <row r="592">
      <c r="E592" s="21"/>
      <c r="G592" s="22"/>
    </row>
    <row r="593">
      <c r="E593" s="21"/>
      <c r="G593" s="22"/>
    </row>
    <row r="594">
      <c r="E594" s="21"/>
      <c r="G594" s="22"/>
    </row>
    <row r="595">
      <c r="E595" s="21"/>
      <c r="G595" s="22"/>
    </row>
    <row r="596">
      <c r="E596" s="21"/>
      <c r="G596" s="22"/>
    </row>
    <row r="597">
      <c r="E597" s="21"/>
      <c r="G597" s="22"/>
    </row>
    <row r="598">
      <c r="E598" s="21"/>
      <c r="G598" s="22"/>
    </row>
    <row r="599">
      <c r="E599" s="21"/>
      <c r="G599" s="22"/>
    </row>
    <row r="600">
      <c r="E600" s="21"/>
      <c r="G600" s="22"/>
    </row>
    <row r="601">
      <c r="E601" s="21"/>
      <c r="G601" s="22"/>
    </row>
    <row r="602">
      <c r="E602" s="21"/>
      <c r="G602" s="22"/>
    </row>
    <row r="603">
      <c r="E603" s="21"/>
      <c r="G603" s="22"/>
    </row>
    <row r="604">
      <c r="E604" s="21"/>
      <c r="G604" s="22"/>
    </row>
    <row r="605">
      <c r="E605" s="21"/>
      <c r="G605" s="22"/>
    </row>
    <row r="606">
      <c r="E606" s="21"/>
      <c r="G606" s="22"/>
    </row>
    <row r="607">
      <c r="E607" s="21"/>
      <c r="G607" s="22"/>
    </row>
    <row r="608">
      <c r="E608" s="21"/>
      <c r="G608" s="22"/>
    </row>
    <row r="609">
      <c r="E609" s="21"/>
      <c r="G609" s="22"/>
    </row>
    <row r="610">
      <c r="E610" s="21"/>
      <c r="G610" s="22"/>
    </row>
    <row r="611">
      <c r="E611" s="21"/>
      <c r="G611" s="22"/>
    </row>
    <row r="612">
      <c r="E612" s="21"/>
      <c r="G612" s="22"/>
    </row>
    <row r="613">
      <c r="E613" s="21"/>
      <c r="G613" s="22"/>
    </row>
    <row r="614">
      <c r="E614" s="21"/>
      <c r="G614" s="22"/>
    </row>
    <row r="615">
      <c r="E615" s="21"/>
      <c r="G615" s="22"/>
    </row>
    <row r="616">
      <c r="E616" s="21"/>
      <c r="G616" s="22"/>
    </row>
    <row r="617">
      <c r="E617" s="21"/>
      <c r="G617" s="22"/>
    </row>
    <row r="618">
      <c r="E618" s="21"/>
      <c r="G618" s="22"/>
    </row>
    <row r="619">
      <c r="E619" s="21"/>
      <c r="G619" s="22"/>
    </row>
    <row r="620">
      <c r="E620" s="21"/>
      <c r="G620" s="22"/>
    </row>
    <row r="621">
      <c r="E621" s="21"/>
      <c r="G621" s="22"/>
    </row>
    <row r="622">
      <c r="E622" s="21"/>
      <c r="G622" s="22"/>
    </row>
    <row r="623">
      <c r="E623" s="21"/>
      <c r="G623" s="22"/>
    </row>
    <row r="624">
      <c r="E624" s="21"/>
      <c r="G624" s="22"/>
    </row>
    <row r="625">
      <c r="E625" s="21"/>
      <c r="G625" s="22"/>
    </row>
    <row r="626">
      <c r="E626" s="21"/>
      <c r="G626" s="22"/>
    </row>
    <row r="627">
      <c r="E627" s="21"/>
      <c r="G627" s="22"/>
    </row>
    <row r="628">
      <c r="E628" s="21"/>
      <c r="G628" s="22"/>
    </row>
    <row r="629">
      <c r="E629" s="21"/>
      <c r="G629" s="22"/>
    </row>
    <row r="630">
      <c r="E630" s="21"/>
      <c r="G630" s="22"/>
    </row>
    <row r="631">
      <c r="E631" s="21"/>
      <c r="G631" s="22"/>
    </row>
    <row r="632">
      <c r="E632" s="21"/>
      <c r="G632" s="22"/>
    </row>
    <row r="633">
      <c r="E633" s="21"/>
      <c r="G633" s="22"/>
    </row>
    <row r="634">
      <c r="E634" s="21"/>
      <c r="G634" s="22"/>
    </row>
    <row r="635">
      <c r="E635" s="21"/>
      <c r="G635" s="22"/>
    </row>
    <row r="636">
      <c r="E636" s="21"/>
      <c r="G636" s="22"/>
    </row>
    <row r="637">
      <c r="E637" s="21"/>
      <c r="G637" s="22"/>
    </row>
    <row r="638">
      <c r="E638" s="21"/>
      <c r="G638" s="22"/>
    </row>
    <row r="639">
      <c r="E639" s="21"/>
      <c r="G639" s="22"/>
    </row>
    <row r="640">
      <c r="E640" s="21"/>
      <c r="G640" s="22"/>
    </row>
    <row r="641">
      <c r="E641" s="21"/>
      <c r="G641" s="22"/>
    </row>
    <row r="642">
      <c r="E642" s="21"/>
      <c r="G642" s="22"/>
    </row>
    <row r="643">
      <c r="E643" s="21"/>
      <c r="G643" s="22"/>
    </row>
    <row r="644">
      <c r="E644" s="21"/>
      <c r="G644" s="22"/>
    </row>
    <row r="645">
      <c r="E645" s="21"/>
      <c r="G645" s="22"/>
    </row>
    <row r="646">
      <c r="E646" s="21"/>
      <c r="G646" s="22"/>
    </row>
    <row r="647">
      <c r="E647" s="21"/>
      <c r="G647" s="22"/>
    </row>
    <row r="648">
      <c r="E648" s="21"/>
      <c r="G648" s="22"/>
    </row>
    <row r="649">
      <c r="E649" s="21"/>
      <c r="G649" s="22"/>
    </row>
    <row r="650">
      <c r="E650" s="21"/>
      <c r="G650" s="22"/>
    </row>
    <row r="651">
      <c r="E651" s="21"/>
      <c r="G651" s="22"/>
    </row>
    <row r="652">
      <c r="E652" s="21"/>
      <c r="G652" s="22"/>
    </row>
    <row r="653">
      <c r="E653" s="21"/>
      <c r="G653" s="22"/>
    </row>
    <row r="654">
      <c r="E654" s="21"/>
      <c r="G654" s="22"/>
    </row>
    <row r="655">
      <c r="E655" s="21"/>
      <c r="G655" s="22"/>
    </row>
    <row r="656">
      <c r="E656" s="21"/>
      <c r="G656" s="22"/>
    </row>
    <row r="657">
      <c r="E657" s="21"/>
      <c r="G657" s="22"/>
    </row>
    <row r="658">
      <c r="E658" s="21"/>
      <c r="G658" s="22"/>
    </row>
    <row r="659">
      <c r="E659" s="21"/>
      <c r="G659" s="22"/>
    </row>
    <row r="660">
      <c r="E660" s="21"/>
      <c r="G660" s="22"/>
    </row>
    <row r="661">
      <c r="E661" s="21"/>
      <c r="G661" s="22"/>
    </row>
    <row r="662">
      <c r="E662" s="21"/>
      <c r="G662" s="22"/>
    </row>
    <row r="663">
      <c r="E663" s="21"/>
      <c r="G663" s="22"/>
    </row>
    <row r="664">
      <c r="E664" s="21"/>
      <c r="G664" s="22"/>
    </row>
    <row r="665">
      <c r="E665" s="21"/>
      <c r="G665" s="22"/>
    </row>
    <row r="666">
      <c r="E666" s="21"/>
      <c r="G666" s="22"/>
    </row>
    <row r="667">
      <c r="E667" s="21"/>
      <c r="G667" s="22"/>
    </row>
    <row r="668">
      <c r="E668" s="21"/>
      <c r="G668" s="22"/>
    </row>
    <row r="669">
      <c r="E669" s="21"/>
      <c r="G669" s="22"/>
    </row>
    <row r="670">
      <c r="E670" s="21"/>
      <c r="G670" s="22"/>
    </row>
    <row r="671">
      <c r="E671" s="21"/>
      <c r="G671" s="22"/>
    </row>
    <row r="672">
      <c r="E672" s="21"/>
      <c r="G672" s="22"/>
    </row>
    <row r="673">
      <c r="E673" s="21"/>
      <c r="G673" s="22"/>
    </row>
    <row r="674">
      <c r="E674" s="21"/>
      <c r="G674" s="22"/>
    </row>
    <row r="675">
      <c r="E675" s="21"/>
      <c r="G675" s="22"/>
    </row>
    <row r="676">
      <c r="E676" s="21"/>
      <c r="G676" s="22"/>
    </row>
    <row r="677">
      <c r="E677" s="21"/>
      <c r="G677" s="22"/>
    </row>
    <row r="678">
      <c r="E678" s="21"/>
      <c r="G678" s="22"/>
    </row>
    <row r="679">
      <c r="E679" s="21"/>
      <c r="G679" s="22"/>
    </row>
    <row r="680">
      <c r="E680" s="21"/>
      <c r="G680" s="22"/>
    </row>
    <row r="681">
      <c r="E681" s="21"/>
      <c r="G681" s="22"/>
    </row>
    <row r="682">
      <c r="E682" s="21"/>
      <c r="G682" s="22"/>
    </row>
    <row r="683">
      <c r="E683" s="21"/>
      <c r="G683" s="22"/>
    </row>
    <row r="684">
      <c r="E684" s="21"/>
      <c r="G684" s="22"/>
    </row>
    <row r="685">
      <c r="E685" s="21"/>
      <c r="G685" s="22"/>
    </row>
    <row r="686">
      <c r="E686" s="21"/>
      <c r="G686" s="22"/>
    </row>
    <row r="687">
      <c r="E687" s="21"/>
      <c r="G687" s="22"/>
    </row>
    <row r="688">
      <c r="E688" s="21"/>
      <c r="G688" s="22"/>
    </row>
    <row r="689">
      <c r="E689" s="21"/>
      <c r="G689" s="22"/>
    </row>
    <row r="690">
      <c r="E690" s="21"/>
      <c r="G690" s="22"/>
    </row>
    <row r="691">
      <c r="E691" s="21"/>
      <c r="G691" s="22"/>
    </row>
    <row r="692">
      <c r="E692" s="21"/>
      <c r="G692" s="22"/>
    </row>
    <row r="693">
      <c r="E693" s="21"/>
      <c r="G693" s="22"/>
    </row>
    <row r="694">
      <c r="E694" s="21"/>
      <c r="G694" s="22"/>
    </row>
    <row r="695">
      <c r="E695" s="21"/>
      <c r="G695" s="22"/>
    </row>
    <row r="696">
      <c r="E696" s="21"/>
      <c r="G696" s="22"/>
    </row>
    <row r="697">
      <c r="E697" s="21"/>
      <c r="G697" s="22"/>
    </row>
    <row r="698">
      <c r="E698" s="21"/>
      <c r="G698" s="22"/>
    </row>
    <row r="699">
      <c r="E699" s="21"/>
      <c r="G699" s="22"/>
    </row>
    <row r="700">
      <c r="E700" s="21"/>
      <c r="G700" s="22"/>
    </row>
    <row r="701">
      <c r="E701" s="21"/>
      <c r="G701" s="22"/>
    </row>
    <row r="702">
      <c r="E702" s="21"/>
      <c r="G702" s="22"/>
    </row>
    <row r="703">
      <c r="E703" s="21"/>
      <c r="G703" s="22"/>
    </row>
    <row r="704">
      <c r="E704" s="21"/>
      <c r="G704" s="22"/>
    </row>
    <row r="705">
      <c r="E705" s="21"/>
      <c r="G705" s="22"/>
    </row>
    <row r="706">
      <c r="E706" s="21"/>
      <c r="G706" s="22"/>
    </row>
    <row r="707">
      <c r="E707" s="21"/>
      <c r="G707" s="22"/>
    </row>
    <row r="708">
      <c r="E708" s="21"/>
      <c r="G708" s="22"/>
    </row>
    <row r="709">
      <c r="E709" s="21"/>
      <c r="G709" s="22"/>
    </row>
    <row r="710">
      <c r="E710" s="21"/>
      <c r="G710" s="22"/>
    </row>
    <row r="711">
      <c r="E711" s="21"/>
      <c r="G711" s="22"/>
    </row>
    <row r="712">
      <c r="E712" s="21"/>
      <c r="G712" s="22"/>
    </row>
    <row r="713">
      <c r="E713" s="21"/>
      <c r="G713" s="22"/>
    </row>
    <row r="714">
      <c r="E714" s="21"/>
      <c r="G714" s="22"/>
    </row>
    <row r="715">
      <c r="E715" s="21"/>
      <c r="G715" s="22"/>
    </row>
    <row r="716">
      <c r="E716" s="21"/>
      <c r="G716" s="22"/>
    </row>
    <row r="717">
      <c r="E717" s="21"/>
      <c r="G717" s="22"/>
    </row>
    <row r="718">
      <c r="E718" s="21"/>
      <c r="G718" s="22"/>
    </row>
    <row r="719">
      <c r="E719" s="21"/>
      <c r="G719" s="22"/>
    </row>
    <row r="720">
      <c r="E720" s="21"/>
      <c r="G720" s="22"/>
    </row>
    <row r="721">
      <c r="E721" s="21"/>
      <c r="G721" s="22"/>
    </row>
    <row r="722">
      <c r="E722" s="21"/>
      <c r="G722" s="22"/>
    </row>
    <row r="723">
      <c r="E723" s="21"/>
      <c r="G723" s="22"/>
    </row>
    <row r="724">
      <c r="E724" s="21"/>
      <c r="G724" s="22"/>
    </row>
    <row r="725">
      <c r="E725" s="21"/>
      <c r="G725" s="22"/>
    </row>
    <row r="726">
      <c r="E726" s="21"/>
      <c r="G726" s="22"/>
    </row>
    <row r="727">
      <c r="E727" s="21"/>
      <c r="G727" s="22"/>
    </row>
    <row r="728">
      <c r="E728" s="21"/>
      <c r="G728" s="22"/>
    </row>
    <row r="729">
      <c r="E729" s="21"/>
      <c r="G729" s="22"/>
    </row>
    <row r="730">
      <c r="E730" s="21"/>
      <c r="G730" s="22"/>
    </row>
    <row r="731">
      <c r="E731" s="21"/>
      <c r="G731" s="22"/>
    </row>
    <row r="732">
      <c r="E732" s="21"/>
      <c r="G732" s="22"/>
    </row>
    <row r="733">
      <c r="E733" s="21"/>
      <c r="G733" s="22"/>
    </row>
    <row r="734">
      <c r="E734" s="21"/>
      <c r="G734" s="22"/>
    </row>
    <row r="735">
      <c r="E735" s="21"/>
      <c r="G735" s="22"/>
    </row>
    <row r="736">
      <c r="E736" s="21"/>
      <c r="G736" s="22"/>
    </row>
    <row r="737">
      <c r="E737" s="21"/>
      <c r="G737" s="22"/>
    </row>
    <row r="738">
      <c r="E738" s="21"/>
      <c r="G738" s="22"/>
    </row>
    <row r="739">
      <c r="E739" s="21"/>
      <c r="G739" s="22"/>
    </row>
    <row r="740">
      <c r="E740" s="21"/>
      <c r="G740" s="22"/>
    </row>
    <row r="741">
      <c r="E741" s="21"/>
      <c r="G741" s="22"/>
    </row>
    <row r="742">
      <c r="E742" s="21"/>
      <c r="G742" s="22"/>
    </row>
    <row r="743">
      <c r="E743" s="21"/>
      <c r="G743" s="22"/>
    </row>
    <row r="744">
      <c r="E744" s="21"/>
      <c r="G744" s="22"/>
    </row>
    <row r="745">
      <c r="E745" s="21"/>
      <c r="G745" s="22"/>
    </row>
    <row r="746">
      <c r="E746" s="21"/>
      <c r="G746" s="22"/>
    </row>
    <row r="747">
      <c r="E747" s="21"/>
      <c r="G747" s="22"/>
    </row>
    <row r="748">
      <c r="E748" s="21"/>
      <c r="G748" s="22"/>
    </row>
    <row r="749">
      <c r="E749" s="21"/>
      <c r="G749" s="22"/>
    </row>
    <row r="750">
      <c r="E750" s="21"/>
      <c r="G750" s="22"/>
    </row>
    <row r="751">
      <c r="E751" s="21"/>
      <c r="G751" s="22"/>
    </row>
    <row r="752">
      <c r="E752" s="21"/>
      <c r="G752" s="22"/>
    </row>
    <row r="753">
      <c r="E753" s="21"/>
      <c r="G753" s="22"/>
    </row>
    <row r="754">
      <c r="E754" s="21"/>
      <c r="G754" s="22"/>
    </row>
    <row r="755">
      <c r="E755" s="21"/>
      <c r="G755" s="22"/>
    </row>
    <row r="756">
      <c r="E756" s="21"/>
      <c r="G756" s="22"/>
    </row>
    <row r="757">
      <c r="E757" s="21"/>
      <c r="G757" s="22"/>
    </row>
    <row r="758">
      <c r="E758" s="21"/>
      <c r="G758" s="22"/>
    </row>
    <row r="759">
      <c r="E759" s="21"/>
      <c r="G759" s="22"/>
    </row>
    <row r="760">
      <c r="E760" s="21"/>
      <c r="G760" s="22"/>
    </row>
    <row r="761">
      <c r="E761" s="21"/>
      <c r="G761" s="22"/>
    </row>
    <row r="762">
      <c r="E762" s="21"/>
      <c r="G762" s="22"/>
    </row>
    <row r="763">
      <c r="E763" s="21"/>
      <c r="G763" s="22"/>
    </row>
    <row r="764">
      <c r="E764" s="21"/>
      <c r="G764" s="22"/>
    </row>
    <row r="765">
      <c r="E765" s="21"/>
      <c r="G765" s="22"/>
    </row>
    <row r="766">
      <c r="E766" s="21"/>
      <c r="G766" s="22"/>
    </row>
    <row r="767">
      <c r="E767" s="21"/>
      <c r="G767" s="22"/>
    </row>
    <row r="768">
      <c r="E768" s="21"/>
      <c r="G768" s="22"/>
    </row>
    <row r="769">
      <c r="E769" s="21"/>
      <c r="G769" s="22"/>
    </row>
    <row r="770">
      <c r="E770" s="21"/>
      <c r="G770" s="22"/>
    </row>
    <row r="771">
      <c r="E771" s="21"/>
      <c r="G771" s="22"/>
    </row>
    <row r="772">
      <c r="E772" s="21"/>
      <c r="G772" s="22"/>
    </row>
    <row r="773">
      <c r="E773" s="21"/>
      <c r="G773" s="22"/>
    </row>
    <row r="774">
      <c r="E774" s="21"/>
      <c r="G774" s="22"/>
    </row>
    <row r="775">
      <c r="E775" s="21"/>
      <c r="G775" s="22"/>
    </row>
    <row r="776">
      <c r="E776" s="21"/>
      <c r="G776" s="22"/>
    </row>
    <row r="777">
      <c r="E777" s="21"/>
      <c r="G777" s="22"/>
    </row>
    <row r="778">
      <c r="E778" s="21"/>
      <c r="G778" s="22"/>
    </row>
    <row r="779">
      <c r="E779" s="21"/>
      <c r="G779" s="22"/>
    </row>
    <row r="780">
      <c r="E780" s="21"/>
      <c r="G780" s="22"/>
    </row>
    <row r="781">
      <c r="E781" s="21"/>
      <c r="G781" s="22"/>
    </row>
    <row r="782">
      <c r="E782" s="21"/>
      <c r="G782" s="22"/>
    </row>
    <row r="783">
      <c r="E783" s="21"/>
      <c r="G783" s="22"/>
    </row>
    <row r="784">
      <c r="E784" s="21"/>
      <c r="G784" s="22"/>
    </row>
    <row r="785">
      <c r="E785" s="21"/>
      <c r="G785" s="22"/>
    </row>
    <row r="786">
      <c r="E786" s="21"/>
      <c r="G786" s="22"/>
    </row>
    <row r="787">
      <c r="E787" s="21"/>
      <c r="G787" s="22"/>
    </row>
    <row r="788">
      <c r="E788" s="21"/>
      <c r="G788" s="22"/>
    </row>
    <row r="789">
      <c r="E789" s="21"/>
      <c r="G789" s="22"/>
    </row>
    <row r="790">
      <c r="E790" s="21"/>
      <c r="G790" s="22"/>
    </row>
    <row r="791">
      <c r="E791" s="21"/>
      <c r="G791" s="22"/>
    </row>
    <row r="792">
      <c r="E792" s="21"/>
      <c r="G792" s="22"/>
    </row>
    <row r="793">
      <c r="E793" s="21"/>
      <c r="G793" s="22"/>
    </row>
    <row r="794">
      <c r="E794" s="21"/>
      <c r="G794" s="22"/>
    </row>
    <row r="795">
      <c r="E795" s="21"/>
      <c r="G795" s="22"/>
    </row>
    <row r="796">
      <c r="E796" s="21"/>
      <c r="G796" s="22"/>
    </row>
    <row r="797">
      <c r="E797" s="21"/>
      <c r="G797" s="22"/>
    </row>
    <row r="798">
      <c r="E798" s="21"/>
      <c r="G798" s="22"/>
    </row>
    <row r="799">
      <c r="E799" s="21"/>
      <c r="G799" s="22"/>
    </row>
    <row r="800">
      <c r="E800" s="21"/>
      <c r="G800" s="22"/>
    </row>
    <row r="801">
      <c r="E801" s="21"/>
      <c r="G801" s="22"/>
    </row>
    <row r="802">
      <c r="E802" s="21"/>
      <c r="G802" s="22"/>
    </row>
    <row r="803">
      <c r="E803" s="21"/>
      <c r="G803" s="22"/>
    </row>
    <row r="804">
      <c r="E804" s="21"/>
      <c r="G804" s="22"/>
    </row>
    <row r="805">
      <c r="E805" s="21"/>
      <c r="G805" s="22"/>
    </row>
    <row r="806">
      <c r="E806" s="21"/>
      <c r="G806" s="22"/>
    </row>
    <row r="807">
      <c r="E807" s="21"/>
      <c r="G807" s="22"/>
    </row>
    <row r="808">
      <c r="E808" s="21"/>
      <c r="G808" s="22"/>
    </row>
    <row r="809">
      <c r="E809" s="21"/>
      <c r="G809" s="22"/>
    </row>
    <row r="810">
      <c r="E810" s="21"/>
      <c r="G810" s="22"/>
    </row>
    <row r="811">
      <c r="E811" s="21"/>
      <c r="G811" s="22"/>
    </row>
    <row r="812">
      <c r="E812" s="21"/>
      <c r="G812" s="22"/>
    </row>
    <row r="813">
      <c r="E813" s="21"/>
      <c r="G813" s="22"/>
    </row>
    <row r="814">
      <c r="E814" s="21"/>
      <c r="G814" s="22"/>
    </row>
    <row r="815">
      <c r="E815" s="21"/>
      <c r="G815" s="22"/>
    </row>
    <row r="816">
      <c r="E816" s="21"/>
      <c r="G816" s="22"/>
    </row>
    <row r="817">
      <c r="E817" s="21"/>
      <c r="G817" s="22"/>
    </row>
    <row r="818">
      <c r="E818" s="21"/>
      <c r="G818" s="22"/>
    </row>
    <row r="819">
      <c r="E819" s="21"/>
      <c r="G819" s="22"/>
    </row>
    <row r="820">
      <c r="E820" s="21"/>
      <c r="G820" s="22"/>
    </row>
    <row r="821">
      <c r="E821" s="21"/>
      <c r="G821" s="22"/>
    </row>
    <row r="822">
      <c r="E822" s="21"/>
      <c r="G822" s="22"/>
    </row>
    <row r="823">
      <c r="E823" s="21"/>
      <c r="G823" s="22"/>
    </row>
    <row r="824">
      <c r="E824" s="21"/>
      <c r="G824" s="22"/>
    </row>
    <row r="825">
      <c r="E825" s="21"/>
      <c r="G825" s="22"/>
    </row>
    <row r="826">
      <c r="E826" s="21"/>
      <c r="G826" s="22"/>
    </row>
    <row r="827">
      <c r="E827" s="21"/>
      <c r="G827" s="22"/>
    </row>
    <row r="828">
      <c r="E828" s="21"/>
      <c r="G828" s="22"/>
    </row>
    <row r="829">
      <c r="E829" s="21"/>
      <c r="G829" s="22"/>
    </row>
    <row r="830">
      <c r="E830" s="21"/>
      <c r="G830" s="22"/>
    </row>
    <row r="831">
      <c r="E831" s="21"/>
      <c r="G831" s="22"/>
    </row>
    <row r="832">
      <c r="E832" s="21"/>
      <c r="G832" s="22"/>
    </row>
    <row r="833">
      <c r="E833" s="21"/>
      <c r="G833" s="22"/>
    </row>
    <row r="834">
      <c r="E834" s="21"/>
      <c r="G834" s="22"/>
    </row>
    <row r="835">
      <c r="E835" s="21"/>
      <c r="G835" s="22"/>
    </row>
    <row r="836">
      <c r="E836" s="21"/>
      <c r="G836" s="22"/>
    </row>
    <row r="837">
      <c r="E837" s="21"/>
      <c r="G837" s="22"/>
    </row>
    <row r="838">
      <c r="E838" s="21"/>
      <c r="G838" s="22"/>
    </row>
    <row r="839">
      <c r="E839" s="21"/>
      <c r="G839" s="22"/>
    </row>
    <row r="840">
      <c r="E840" s="21"/>
      <c r="G840" s="22"/>
    </row>
    <row r="841">
      <c r="E841" s="21"/>
      <c r="G841" s="22"/>
    </row>
    <row r="842">
      <c r="E842" s="21"/>
      <c r="G842" s="22"/>
    </row>
    <row r="843">
      <c r="E843" s="21"/>
      <c r="G843" s="22"/>
    </row>
    <row r="844">
      <c r="E844" s="21"/>
      <c r="G844" s="22"/>
    </row>
    <row r="845">
      <c r="E845" s="21"/>
      <c r="G845" s="22"/>
    </row>
    <row r="846">
      <c r="E846" s="21"/>
      <c r="G846" s="22"/>
    </row>
    <row r="847">
      <c r="E847" s="21"/>
      <c r="G847" s="22"/>
    </row>
    <row r="848">
      <c r="E848" s="21"/>
      <c r="G848" s="22"/>
    </row>
    <row r="849">
      <c r="E849" s="21"/>
      <c r="G849" s="22"/>
    </row>
    <row r="850">
      <c r="E850" s="21"/>
      <c r="G850" s="22"/>
    </row>
    <row r="851">
      <c r="E851" s="21"/>
      <c r="G851" s="22"/>
    </row>
    <row r="852">
      <c r="E852" s="21"/>
      <c r="G852" s="22"/>
    </row>
    <row r="853">
      <c r="E853" s="21"/>
      <c r="G853" s="22"/>
    </row>
    <row r="854">
      <c r="E854" s="21"/>
      <c r="G854" s="22"/>
    </row>
    <row r="855">
      <c r="E855" s="21"/>
      <c r="G855" s="22"/>
    </row>
    <row r="856">
      <c r="E856" s="21"/>
      <c r="G856" s="22"/>
    </row>
    <row r="857">
      <c r="E857" s="21"/>
      <c r="G857" s="22"/>
    </row>
    <row r="858">
      <c r="E858" s="21"/>
      <c r="G858" s="22"/>
    </row>
    <row r="859">
      <c r="E859" s="21"/>
      <c r="G859" s="22"/>
    </row>
    <row r="860">
      <c r="E860" s="21"/>
      <c r="G860" s="22"/>
    </row>
    <row r="861">
      <c r="E861" s="21"/>
      <c r="G861" s="22"/>
    </row>
    <row r="862">
      <c r="E862" s="21"/>
      <c r="G862" s="22"/>
    </row>
    <row r="863">
      <c r="E863" s="21"/>
      <c r="G863" s="22"/>
    </row>
    <row r="864">
      <c r="E864" s="21"/>
      <c r="G864" s="22"/>
    </row>
    <row r="865">
      <c r="E865" s="21"/>
      <c r="G865" s="22"/>
    </row>
    <row r="866">
      <c r="E866" s="21"/>
      <c r="G866" s="22"/>
    </row>
    <row r="867">
      <c r="E867" s="21"/>
      <c r="G867" s="22"/>
    </row>
    <row r="868">
      <c r="E868" s="21"/>
      <c r="G868" s="22"/>
    </row>
    <row r="869">
      <c r="E869" s="21"/>
      <c r="G869" s="22"/>
    </row>
    <row r="870">
      <c r="E870" s="21"/>
      <c r="G870" s="22"/>
    </row>
    <row r="871">
      <c r="E871" s="21"/>
      <c r="G871" s="22"/>
    </row>
    <row r="872">
      <c r="E872" s="21"/>
      <c r="G872" s="22"/>
    </row>
    <row r="873">
      <c r="E873" s="21"/>
      <c r="G873" s="22"/>
    </row>
    <row r="874">
      <c r="E874" s="21"/>
      <c r="G874" s="22"/>
    </row>
    <row r="875">
      <c r="E875" s="21"/>
      <c r="G875" s="22"/>
    </row>
    <row r="876">
      <c r="E876" s="21"/>
      <c r="G876" s="22"/>
    </row>
    <row r="877">
      <c r="E877" s="21"/>
      <c r="G877" s="22"/>
    </row>
    <row r="878">
      <c r="E878" s="21"/>
      <c r="G878" s="22"/>
    </row>
    <row r="879">
      <c r="E879" s="21"/>
      <c r="G879" s="22"/>
    </row>
    <row r="880">
      <c r="E880" s="21"/>
      <c r="G880" s="22"/>
    </row>
    <row r="881">
      <c r="E881" s="21"/>
      <c r="G881" s="22"/>
    </row>
    <row r="882">
      <c r="E882" s="21"/>
      <c r="G882" s="22"/>
    </row>
    <row r="883">
      <c r="E883" s="21"/>
      <c r="G883" s="22"/>
    </row>
    <row r="884">
      <c r="E884" s="21"/>
      <c r="G884" s="22"/>
    </row>
    <row r="885">
      <c r="E885" s="21"/>
      <c r="G885" s="22"/>
    </row>
    <row r="886">
      <c r="E886" s="21"/>
      <c r="G886" s="22"/>
    </row>
    <row r="887">
      <c r="E887" s="21"/>
      <c r="G887" s="22"/>
    </row>
    <row r="888">
      <c r="E888" s="21"/>
      <c r="G888" s="22"/>
    </row>
    <row r="889">
      <c r="E889" s="21"/>
      <c r="G889" s="22"/>
    </row>
    <row r="890">
      <c r="E890" s="21"/>
      <c r="G890" s="22"/>
    </row>
    <row r="891">
      <c r="E891" s="21"/>
      <c r="G891" s="22"/>
    </row>
    <row r="892">
      <c r="E892" s="21"/>
      <c r="G892" s="22"/>
    </row>
    <row r="893">
      <c r="E893" s="21"/>
      <c r="G893" s="22"/>
    </row>
    <row r="894">
      <c r="E894" s="21"/>
      <c r="G894" s="22"/>
    </row>
    <row r="895">
      <c r="E895" s="21"/>
      <c r="G895" s="22"/>
    </row>
    <row r="896">
      <c r="E896" s="21"/>
      <c r="G896" s="22"/>
    </row>
    <row r="897">
      <c r="E897" s="21"/>
      <c r="G897" s="22"/>
    </row>
    <row r="898">
      <c r="E898" s="21"/>
      <c r="G898" s="22"/>
    </row>
    <row r="899">
      <c r="E899" s="21"/>
      <c r="G899" s="22"/>
    </row>
    <row r="900">
      <c r="E900" s="21"/>
      <c r="G900" s="22"/>
    </row>
    <row r="901">
      <c r="E901" s="21"/>
      <c r="G901" s="22"/>
    </row>
    <row r="902">
      <c r="E902" s="21"/>
      <c r="G902" s="22"/>
    </row>
    <row r="903">
      <c r="E903" s="21"/>
      <c r="G903" s="22"/>
    </row>
    <row r="904">
      <c r="E904" s="21"/>
      <c r="G904" s="22"/>
    </row>
    <row r="905">
      <c r="E905" s="21"/>
      <c r="G905" s="22"/>
    </row>
    <row r="906">
      <c r="E906" s="21"/>
      <c r="G906" s="22"/>
    </row>
    <row r="907">
      <c r="E907" s="21"/>
      <c r="G907" s="22"/>
    </row>
    <row r="908">
      <c r="E908" s="21"/>
      <c r="G908" s="22"/>
    </row>
    <row r="909">
      <c r="E909" s="21"/>
      <c r="G909" s="22"/>
    </row>
    <row r="910">
      <c r="E910" s="21"/>
      <c r="G910" s="22"/>
    </row>
    <row r="911">
      <c r="E911" s="21"/>
      <c r="G911" s="22"/>
    </row>
    <row r="912">
      <c r="E912" s="21"/>
      <c r="G912" s="22"/>
    </row>
    <row r="913">
      <c r="E913" s="21"/>
      <c r="G913" s="22"/>
    </row>
    <row r="914">
      <c r="E914" s="21"/>
      <c r="G914" s="22"/>
    </row>
    <row r="915">
      <c r="E915" s="21"/>
      <c r="G915" s="22"/>
    </row>
    <row r="916">
      <c r="E916" s="21"/>
      <c r="G916" s="22"/>
    </row>
    <row r="917">
      <c r="E917" s="21"/>
      <c r="G917" s="22"/>
    </row>
    <row r="918">
      <c r="E918" s="21"/>
      <c r="G918" s="22"/>
    </row>
    <row r="919">
      <c r="E919" s="21"/>
      <c r="G919" s="22"/>
    </row>
    <row r="920">
      <c r="E920" s="21"/>
      <c r="G920" s="22"/>
    </row>
    <row r="921">
      <c r="E921" s="21"/>
      <c r="G921" s="22"/>
    </row>
    <row r="922">
      <c r="E922" s="21"/>
      <c r="G922" s="22"/>
    </row>
    <row r="923">
      <c r="E923" s="21"/>
      <c r="G923" s="22"/>
    </row>
    <row r="924">
      <c r="E924" s="21"/>
      <c r="G924" s="22"/>
    </row>
    <row r="925">
      <c r="E925" s="21"/>
      <c r="G925" s="22"/>
    </row>
    <row r="926">
      <c r="E926" s="21"/>
      <c r="G926" s="22"/>
    </row>
    <row r="927">
      <c r="E927" s="21"/>
      <c r="G927" s="22"/>
    </row>
    <row r="928">
      <c r="E928" s="21"/>
      <c r="G928" s="22"/>
    </row>
    <row r="929">
      <c r="E929" s="21"/>
      <c r="G929" s="22"/>
    </row>
    <row r="930">
      <c r="E930" s="21"/>
      <c r="G930" s="22"/>
    </row>
    <row r="931">
      <c r="E931" s="21"/>
      <c r="G931" s="22"/>
    </row>
    <row r="932">
      <c r="E932" s="21"/>
      <c r="G932" s="22"/>
    </row>
    <row r="933">
      <c r="E933" s="21"/>
      <c r="G933" s="22"/>
    </row>
    <row r="934">
      <c r="E934" s="21"/>
      <c r="G934" s="22"/>
    </row>
    <row r="935">
      <c r="E935" s="21"/>
      <c r="G935" s="22"/>
    </row>
    <row r="936">
      <c r="E936" s="21"/>
      <c r="G936" s="22"/>
    </row>
    <row r="937">
      <c r="E937" s="21"/>
      <c r="G937" s="22"/>
    </row>
    <row r="938">
      <c r="E938" s="21"/>
      <c r="G938" s="22"/>
    </row>
    <row r="939">
      <c r="E939" s="21"/>
      <c r="G939" s="22"/>
    </row>
    <row r="940">
      <c r="E940" s="21"/>
      <c r="G940" s="22"/>
    </row>
    <row r="941">
      <c r="E941" s="21"/>
      <c r="G941" s="22"/>
    </row>
    <row r="942">
      <c r="E942" s="21"/>
      <c r="G942" s="22"/>
    </row>
    <row r="943">
      <c r="E943" s="21"/>
      <c r="G943" s="22"/>
    </row>
    <row r="944">
      <c r="E944" s="21"/>
      <c r="G944" s="22"/>
    </row>
    <row r="945">
      <c r="E945" s="21"/>
      <c r="G945" s="22"/>
    </row>
    <row r="946">
      <c r="E946" s="21"/>
      <c r="G946" s="22"/>
    </row>
    <row r="947">
      <c r="E947" s="21"/>
      <c r="G947" s="22"/>
    </row>
    <row r="948">
      <c r="E948" s="21"/>
      <c r="G948" s="22"/>
    </row>
    <row r="949">
      <c r="E949" s="21"/>
      <c r="G949" s="22"/>
    </row>
    <row r="950">
      <c r="E950" s="21"/>
      <c r="G950" s="22"/>
    </row>
    <row r="951">
      <c r="E951" s="21"/>
      <c r="G951" s="22"/>
    </row>
    <row r="952">
      <c r="E952" s="21"/>
      <c r="G952" s="22"/>
    </row>
    <row r="953">
      <c r="E953" s="21"/>
      <c r="G953" s="22"/>
    </row>
    <row r="954">
      <c r="E954" s="21"/>
      <c r="G954" s="22"/>
    </row>
    <row r="955">
      <c r="E955" s="21"/>
      <c r="G955" s="22"/>
    </row>
    <row r="956">
      <c r="E956" s="21"/>
      <c r="G956" s="22"/>
    </row>
    <row r="957">
      <c r="E957" s="21"/>
      <c r="G957" s="22"/>
    </row>
    <row r="958">
      <c r="E958" s="21"/>
      <c r="G958" s="22"/>
    </row>
    <row r="959">
      <c r="E959" s="21"/>
      <c r="G959" s="22"/>
    </row>
    <row r="960">
      <c r="E960" s="21"/>
      <c r="G960" s="22"/>
    </row>
    <row r="961">
      <c r="E961" s="21"/>
      <c r="G961" s="22"/>
    </row>
    <row r="962">
      <c r="E962" s="21"/>
      <c r="G962" s="22"/>
    </row>
    <row r="963">
      <c r="E963" s="21"/>
      <c r="G963" s="22"/>
    </row>
    <row r="964">
      <c r="E964" s="21"/>
      <c r="G964" s="22"/>
    </row>
    <row r="965">
      <c r="E965" s="21"/>
      <c r="G965" s="22"/>
    </row>
    <row r="966">
      <c r="E966" s="21"/>
      <c r="G966" s="22"/>
    </row>
    <row r="967">
      <c r="E967" s="21"/>
      <c r="G967" s="22"/>
    </row>
    <row r="968">
      <c r="E968" s="21"/>
      <c r="G968" s="22"/>
    </row>
    <row r="969">
      <c r="E969" s="21"/>
      <c r="G969" s="22"/>
    </row>
    <row r="970">
      <c r="E970" s="21"/>
      <c r="G970" s="22"/>
    </row>
    <row r="971">
      <c r="E971" s="21"/>
      <c r="G971" s="22"/>
    </row>
    <row r="972">
      <c r="E972" s="21"/>
      <c r="G972" s="22"/>
    </row>
    <row r="973">
      <c r="E973" s="21"/>
      <c r="G973" s="22"/>
    </row>
    <row r="974">
      <c r="E974" s="21"/>
      <c r="G974" s="22"/>
    </row>
    <row r="975">
      <c r="E975" s="21"/>
      <c r="G975" s="22"/>
    </row>
    <row r="976">
      <c r="E976" s="21"/>
      <c r="G976" s="22"/>
    </row>
    <row r="977">
      <c r="E977" s="21"/>
      <c r="G977" s="22"/>
    </row>
    <row r="978">
      <c r="E978" s="21"/>
      <c r="G978" s="22"/>
    </row>
    <row r="979">
      <c r="E979" s="21"/>
      <c r="G979" s="22"/>
    </row>
    <row r="980">
      <c r="E980" s="21"/>
      <c r="G980" s="22"/>
    </row>
    <row r="981">
      <c r="E981" s="21"/>
      <c r="G981" s="22"/>
    </row>
    <row r="982">
      <c r="E982" s="21"/>
      <c r="G982" s="22"/>
    </row>
    <row r="983">
      <c r="E983" s="21"/>
      <c r="G983" s="22"/>
    </row>
    <row r="984">
      <c r="E984" s="21"/>
      <c r="G984" s="22"/>
    </row>
    <row r="985">
      <c r="E985" s="21"/>
      <c r="G985" s="22"/>
    </row>
    <row r="986">
      <c r="E986" s="21"/>
      <c r="G986" s="22"/>
    </row>
    <row r="987">
      <c r="E987" s="21"/>
      <c r="G987" s="22"/>
    </row>
    <row r="988">
      <c r="E988" s="21"/>
      <c r="G988" s="22"/>
    </row>
    <row r="989">
      <c r="E989" s="21"/>
      <c r="G989" s="22"/>
    </row>
    <row r="990">
      <c r="E990" s="21"/>
      <c r="G990" s="22"/>
    </row>
    <row r="991">
      <c r="E991" s="21"/>
      <c r="G991" s="22"/>
    </row>
    <row r="992">
      <c r="E992" s="21"/>
      <c r="G992" s="22"/>
    </row>
    <row r="993">
      <c r="E993" s="21"/>
      <c r="G993" s="22"/>
    </row>
    <row r="994">
      <c r="E994" s="21"/>
      <c r="G994" s="22"/>
    </row>
    <row r="995">
      <c r="E995" s="21"/>
      <c r="G995" s="22"/>
    </row>
    <row r="996">
      <c r="E996" s="21"/>
      <c r="G996" s="22"/>
    </row>
    <row r="997">
      <c r="E997" s="21"/>
      <c r="G997" s="22"/>
    </row>
    <row r="998">
      <c r="E998" s="21"/>
      <c r="G998" s="22"/>
    </row>
    <row r="999">
      <c r="E999" s="21"/>
      <c r="G999" s="22"/>
    </row>
    <row r="1000">
      <c r="E1000" s="21"/>
      <c r="G1000" s="22"/>
    </row>
    <row r="1001">
      <c r="E1001" s="21"/>
      <c r="G1001" s="22"/>
    </row>
    <row r="1002">
      <c r="E1002" s="21"/>
      <c r="G1002" s="22"/>
    </row>
  </sheetData>
  <autoFilter ref="$A$1:$H$117">
    <filterColumn colId="0">
      <filters>
        <filter val="2026년 6월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13</v>
      </c>
      <c r="B1" s="23" t="s">
        <v>63</v>
      </c>
      <c r="C1" s="23" t="s">
        <v>15</v>
      </c>
      <c r="D1" s="23" t="s">
        <v>64</v>
      </c>
      <c r="E1" s="23" t="s">
        <v>65</v>
      </c>
    </row>
    <row r="2">
      <c r="A2" s="24" t="s">
        <v>41</v>
      </c>
      <c r="B2" s="24" t="s">
        <v>21</v>
      </c>
      <c r="C2" s="25">
        <v>2.164E7</v>
      </c>
      <c r="D2" s="26">
        <v>0.0329</v>
      </c>
      <c r="E2" s="25">
        <f t="shared" ref="E2:E6" si="1">C2*D2/12</f>
        <v>59329.66667</v>
      </c>
    </row>
    <row r="3">
      <c r="A3" s="24" t="s">
        <v>41</v>
      </c>
      <c r="B3" s="24" t="s">
        <v>21</v>
      </c>
      <c r="C3" s="25">
        <v>1.0E8</v>
      </c>
      <c r="D3" s="26">
        <v>0.0349</v>
      </c>
      <c r="E3" s="25">
        <f t="shared" si="1"/>
        <v>290833.3333</v>
      </c>
    </row>
    <row r="4">
      <c r="A4" s="24" t="s">
        <v>41</v>
      </c>
      <c r="B4" s="24" t="s">
        <v>21</v>
      </c>
      <c r="C4" s="25">
        <v>5.0E7</v>
      </c>
      <c r="D4" s="26">
        <v>0.0339</v>
      </c>
      <c r="E4" s="25">
        <f t="shared" si="1"/>
        <v>141250</v>
      </c>
    </row>
    <row r="5">
      <c r="A5" s="24" t="s">
        <v>41</v>
      </c>
      <c r="B5" s="24" t="s">
        <v>31</v>
      </c>
      <c r="C5" s="27">
        <v>6.5385014E7</v>
      </c>
      <c r="D5" s="26">
        <v>0.037</v>
      </c>
      <c r="E5" s="25">
        <f t="shared" si="1"/>
        <v>201603.7932</v>
      </c>
    </row>
    <row r="6">
      <c r="A6" s="28" t="s">
        <v>20</v>
      </c>
      <c r="B6" s="28" t="s">
        <v>21</v>
      </c>
      <c r="C6" s="25">
        <v>1.12E8</v>
      </c>
      <c r="D6" s="26">
        <v>0.0339</v>
      </c>
      <c r="E6" s="25">
        <f t="shared" si="1"/>
        <v>316400</v>
      </c>
    </row>
    <row r="7">
      <c r="A7" s="28" t="s">
        <v>20</v>
      </c>
      <c r="B7" s="28" t="s">
        <v>66</v>
      </c>
      <c r="C7" s="25">
        <v>5.0E7</v>
      </c>
      <c r="D7" s="26">
        <v>0.05435</v>
      </c>
      <c r="E7" s="29" t="s">
        <v>28</v>
      </c>
    </row>
    <row r="8">
      <c r="A8" s="30" t="s">
        <v>67</v>
      </c>
      <c r="B8" s="31"/>
      <c r="C8" s="32">
        <f>sum(C2:C6)</f>
        <v>349025014</v>
      </c>
      <c r="D8" s="31"/>
      <c r="E8" s="33">
        <f>sum(E2:E6)</f>
        <v>1009416.793</v>
      </c>
    </row>
    <row r="9">
      <c r="B9" s="34"/>
      <c r="C9" s="34"/>
      <c r="D9" s="35"/>
      <c r="E9" s="36"/>
      <c r="G9" s="34"/>
      <c r="H9" s="34"/>
    </row>
    <row r="10">
      <c r="B10" s="34"/>
      <c r="C10" s="34"/>
      <c r="D10" s="35"/>
      <c r="E10" s="36"/>
      <c r="G10" s="34"/>
      <c r="H10" s="34"/>
    </row>
    <row r="11">
      <c r="G11" s="34"/>
      <c r="H11" s="34"/>
    </row>
    <row r="12">
      <c r="G12" s="34"/>
      <c r="H12" s="34"/>
    </row>
    <row r="13">
      <c r="G13" s="34"/>
      <c r="H13" s="34"/>
    </row>
    <row r="14">
      <c r="G14" s="34"/>
      <c r="H14" s="34"/>
    </row>
    <row r="15">
      <c r="G15" s="34"/>
      <c r="H15" s="34"/>
    </row>
    <row r="16">
      <c r="G16" s="34"/>
      <c r="H16" s="34"/>
    </row>
    <row r="17">
      <c r="G17" s="34"/>
      <c r="H17" s="34"/>
    </row>
    <row r="19">
      <c r="I19" s="34"/>
      <c r="J19" s="37"/>
      <c r="K19" s="35"/>
      <c r="L19" s="38"/>
      <c r="M19" s="36"/>
      <c r="N19" s="35"/>
    </row>
    <row r="20">
      <c r="I20" s="34"/>
      <c r="J20" s="37"/>
      <c r="K20" s="35"/>
      <c r="L20" s="34"/>
      <c r="M20" s="36"/>
      <c r="N20" s="35"/>
    </row>
    <row r="21">
      <c r="I21" s="34"/>
      <c r="J21" s="37"/>
      <c r="K21" s="35"/>
      <c r="L21" s="34"/>
      <c r="M21" s="36"/>
      <c r="N21" s="35"/>
    </row>
    <row r="22">
      <c r="I22" s="34"/>
      <c r="J22" s="35"/>
      <c r="K22" s="35"/>
      <c r="L22" s="39"/>
      <c r="M22" s="40"/>
      <c r="N22" s="39"/>
    </row>
    <row r="23">
      <c r="I23" s="34"/>
      <c r="J23" s="37"/>
      <c r="K23" s="35"/>
      <c r="L23" s="39"/>
      <c r="M23" s="40"/>
      <c r="N23" s="39"/>
    </row>
    <row r="24">
      <c r="I24" s="34"/>
      <c r="J24" s="35"/>
      <c r="K24" s="35"/>
      <c r="L24" s="34"/>
      <c r="M24" s="40"/>
      <c r="N24" s="39"/>
    </row>
    <row r="25">
      <c r="I25" s="34"/>
      <c r="J25" s="35"/>
      <c r="K25" s="35"/>
      <c r="L25" s="34"/>
      <c r="M25" s="40"/>
      <c r="N25" s="39"/>
    </row>
    <row r="26">
      <c r="I26" s="34"/>
      <c r="J26" s="35"/>
      <c r="K26" s="35"/>
      <c r="L26" s="34"/>
      <c r="M26" s="40"/>
      <c r="N26" s="39"/>
    </row>
    <row r="27">
      <c r="I27" s="34"/>
      <c r="J27" s="35"/>
      <c r="K27" s="35"/>
      <c r="L27" s="34"/>
      <c r="M27" s="40"/>
      <c r="N27" s="39"/>
    </row>
  </sheetData>
  <autoFilter ref="$A$1:$E$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